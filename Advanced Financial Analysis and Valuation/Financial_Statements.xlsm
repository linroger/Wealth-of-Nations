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chicagoedu-my.sharepoint.com/personal/linroger023_uchicago_edu/Documents/"/>
    </mc:Choice>
  </mc:AlternateContent>
  <xr:revisionPtr revIDLastSave="0" documentId="8_{8FC4F16D-FA80-944D-B586-609DB24033A5}" xr6:coauthVersionLast="47" xr6:coauthVersionMax="47" xr10:uidLastSave="{00000000-0000-0000-0000-000000000000}"/>
  <bookViews>
    <workbookView xWindow="-110" yWindow="-110" windowWidth="19420" windowHeight="10300" firstSheet="1" activeTab="1" xr2:uid="{729FA3AB-01B9-4DD2-AB65-3C84B5C40E8B}"/>
  </bookViews>
  <sheets>
    <sheet name="Sheet1" sheetId="1" r:id="rId1"/>
    <sheet name="Balance Sheet" sheetId="3" r:id="rId2"/>
    <sheet name="Income Statement" sheetId="4" r:id="rId3"/>
    <sheet name="Cash Flows" sheetId="29" r:id="rId4"/>
    <sheet name="Sheet2" sheetId="2" r:id="rId5"/>
    <sheet name="Sheet5" sheetId="13" r:id="rId6"/>
    <sheet name="Sheet6" sheetId="27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4" l="1" a="1"/>
  <c r="E21" i="4"/>
  <c r="B32" i="29"/>
  <c r="B30" i="29"/>
  <c r="B28" i="29"/>
  <c r="B19" i="29"/>
  <c r="B11" i="29"/>
  <c r="F40" i="27"/>
  <c r="F42" i="27"/>
  <c r="F44" i="27"/>
  <c r="F30" i="27"/>
  <c r="F19" i="27"/>
  <c r="F17" i="4"/>
  <c r="F7" i="4"/>
  <c r="F12" i="4"/>
  <c r="F19" i="4"/>
  <c r="F27" i="4"/>
  <c r="F32" i="4"/>
  <c r="F25" i="4"/>
  <c r="E41" i="13"/>
  <c r="D41" i="13"/>
  <c r="E16" i="13"/>
  <c r="E18" i="13"/>
  <c r="E20" i="13"/>
  <c r="E43" i="13"/>
  <c r="E46" i="13"/>
  <c r="E48" i="13"/>
  <c r="E55" i="13"/>
  <c r="D16" i="13"/>
  <c r="D18" i="13"/>
  <c r="E9" i="13"/>
  <c r="D9" i="13"/>
  <c r="D20" i="13"/>
  <c r="D43" i="13"/>
  <c r="D46" i="13"/>
  <c r="D48" i="13"/>
  <c r="D55" i="13"/>
  <c r="G11" i="3"/>
  <c r="G19" i="3"/>
  <c r="G32" i="3"/>
  <c r="G27" i="3"/>
  <c r="G39" i="3"/>
  <c r="E11" i="1"/>
  <c r="C6" i="1"/>
  <c r="C7" i="1"/>
  <c r="C8" i="1"/>
  <c r="C9" i="1"/>
  <c r="C10" i="1"/>
  <c r="C5" i="1"/>
  <c r="B6" i="1"/>
  <c r="B7" i="1"/>
  <c r="B8" i="1"/>
  <c r="B9" i="1"/>
  <c r="B10" i="1"/>
  <c r="F43" i="1"/>
  <c r="F52" i="1"/>
  <c r="E43" i="1"/>
  <c r="F38" i="1"/>
  <c r="E38" i="1"/>
  <c r="F33" i="1"/>
  <c r="F49" i="1"/>
  <c r="E33" i="1"/>
  <c r="F21" i="1"/>
  <c r="E21" i="1"/>
  <c r="F17" i="1"/>
  <c r="E17" i="1"/>
  <c r="F11" i="1"/>
  <c r="E23" i="1"/>
  <c r="E48" i="1"/>
  <c r="F45" i="1"/>
  <c r="F50" i="1"/>
  <c r="E52" i="1"/>
  <c r="E49" i="1"/>
  <c r="E45" i="1"/>
  <c r="E50" i="1"/>
  <c r="F23" i="1"/>
  <c r="F48" i="1"/>
  <c r="F51" i="1"/>
  <c r="E5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<sst xmlns="http://schemas.openxmlformats.org/spreadsheetml/2006/main" count="507" uniqueCount="340">
  <si>
    <t>[Company Name]</t>
  </si>
  <si>
    <t>Balance Sheet</t>
  </si>
  <si>
    <t>Assets</t>
  </si>
  <si>
    <t>Current Assets</t>
  </si>
  <si>
    <t>Accounts receivable</t>
  </si>
  <si>
    <t>Inventory</t>
  </si>
  <si>
    <t>Prepaid expenses</t>
  </si>
  <si>
    <t>Short-term investments</t>
  </si>
  <si>
    <t>Total current assets</t>
  </si>
  <si>
    <t>Fixed (Long-Term) Assets</t>
  </si>
  <si>
    <t>Long-term investments</t>
  </si>
  <si>
    <t>Property, plant, and equipment</t>
  </si>
  <si>
    <t>(Less accumulated depreciation)</t>
  </si>
  <si>
    <t>Intangible assets</t>
  </si>
  <si>
    <t>Total fixed assets</t>
  </si>
  <si>
    <t>Other Assets</t>
  </si>
  <si>
    <t>Deferred income tax</t>
  </si>
  <si>
    <t>Other</t>
  </si>
  <si>
    <t>Total Other Assets</t>
  </si>
  <si>
    <t>Total Assets</t>
  </si>
  <si>
    <t>[42]</t>
  </si>
  <si>
    <t>Liabilities and Owner's Equity</t>
  </si>
  <si>
    <t>Current Liabilities</t>
  </si>
  <si>
    <t>Accounts payable</t>
  </si>
  <si>
    <t>Short-term loans</t>
  </si>
  <si>
    <t>Income taxes payable</t>
  </si>
  <si>
    <t>Accrued salaries and wages</t>
  </si>
  <si>
    <t>Unearned revenue</t>
  </si>
  <si>
    <t>Current portion of long-term debt</t>
  </si>
  <si>
    <t>Total current liabilities</t>
  </si>
  <si>
    <t>Long-Term Liabilities</t>
  </si>
  <si>
    <t>Long-term debt</t>
  </si>
  <si>
    <t>Total long-term liabilities</t>
  </si>
  <si>
    <t>Owner's Equity</t>
  </si>
  <si>
    <t>Owner's investment</t>
  </si>
  <si>
    <t>Retained earnings</t>
  </si>
  <si>
    <t>Total owner's equity</t>
  </si>
  <si>
    <t>Total Liabilities and Owner's Equity</t>
  </si>
  <si>
    <t>{42}</t>
  </si>
  <si>
    <t>Common Financial Ratios</t>
  </si>
  <si>
    <r>
      <t xml:space="preserve">Debt Ratio </t>
    </r>
    <r>
      <rPr>
        <sz val="10"/>
        <rFont val="Calibri"/>
        <family val="2"/>
        <scheme val="minor"/>
      </rPr>
      <t>(Total Liabilities / Total Assets)</t>
    </r>
  </si>
  <si>
    <r>
      <t xml:space="preserve">Current Ratio </t>
    </r>
    <r>
      <rPr>
        <sz val="10"/>
        <rFont val="Calibri"/>
        <family val="2"/>
        <scheme val="minor"/>
      </rPr>
      <t>(Current Assets / Current Liabilities)</t>
    </r>
  </si>
  <si>
    <r>
      <t xml:space="preserve">Working Capital </t>
    </r>
    <r>
      <rPr>
        <sz val="10"/>
        <rFont val="Calibri"/>
        <family val="2"/>
        <scheme val="minor"/>
      </rPr>
      <t>(Current Assets - Current Liabilities)</t>
    </r>
  </si>
  <si>
    <r>
      <t>Assets-to-Equity Ratio</t>
    </r>
    <r>
      <rPr>
        <sz val="10"/>
        <rFont val="Calibri"/>
        <family val="2"/>
        <scheme val="minor"/>
      </rPr>
      <t xml:space="preserve"> (Total Assets / Owner's Equity)</t>
    </r>
  </si>
  <si>
    <r>
      <t>Debt-to-Equity Ratio</t>
    </r>
    <r>
      <rPr>
        <sz val="10"/>
        <rFont val="Calibri"/>
        <family val="2"/>
        <scheme val="minor"/>
      </rPr>
      <t xml:space="preserve"> (Total Liabilities / Owner's Equity)</t>
    </r>
  </si>
  <si>
    <t>Marketable Securities</t>
  </si>
  <si>
    <t>1. Current Assets</t>
  </si>
  <si>
    <t>a</t>
  </si>
  <si>
    <t>Balance Sheet Components</t>
  </si>
  <si>
    <t>Valuation Methods</t>
  </si>
  <si>
    <t>Explanation</t>
  </si>
  <si>
    <t>LIABILITIES</t>
  </si>
  <si>
    <t>Credit</t>
  </si>
  <si>
    <t>Invoice amount</t>
  </si>
  <si>
    <t>Amounts owed to suppliers for goods or services</t>
  </si>
  <si>
    <t>Based on estimates and historical trends</t>
  </si>
  <si>
    <t>Expenses incurred but not yet paid</t>
  </si>
  <si>
    <t>Principal amount plus accrued interest</t>
  </si>
  <si>
    <t>Borrowings due within one year</t>
  </si>
  <si>
    <t>Portion of long-term debt due within one year</t>
  </si>
  <si>
    <t>Non-Current Liabilities</t>
  </si>
  <si>
    <t>Borrowings due after one year</t>
  </si>
  <si>
    <t>Based on temporary differences between financial and tax reporting</t>
  </si>
  <si>
    <t>Tax liabilities due to differences in the timing of income recognition between accounting and tax</t>
  </si>
  <si>
    <t>Actuarial assumptions and estimates</t>
  </si>
  <si>
    <t>Future obligations for employee pension and other post-retirement benefits</t>
  </si>
  <si>
    <t>SHAREHOLDER'S EQUITY</t>
  </si>
  <si>
    <t>Par value or stated value</t>
  </si>
  <si>
    <t>Value assigned to shares issued</t>
  </si>
  <si>
    <t>Amount received in excess of par or stated value</t>
  </si>
  <si>
    <t>Capital contributed by shareholders in excess of the par or stated value of the shares</t>
  </si>
  <si>
    <t>Cumulative earnings less dividends paid</t>
  </si>
  <si>
    <t>Profits retained in the business after paying dividends</t>
  </si>
  <si>
    <t>Unrealized gains and losses from certain transactions, such as foreign currency translation and changes in the fair value of available-for-sale investments</t>
  </si>
  <si>
    <t>Accumulation of gains and losses not yet realized in net income</t>
  </si>
  <si>
    <t>Debit</t>
  </si>
  <si>
    <t>Cost of repurchased shares</t>
  </si>
  <si>
    <t>Shares repurchased by the company and held in treasury</t>
  </si>
  <si>
    <t>- Short-term Debt</t>
  </si>
  <si>
    <t>- Accrued Expenses</t>
  </si>
  <si>
    <t>- Accounts Payable</t>
  </si>
  <si>
    <t>- Long-term Debt</t>
  </si>
  <si>
    <t>- Deferred Tax Liabilities</t>
  </si>
  <si>
    <t>- Common Stock</t>
  </si>
  <si>
    <t>- Additional Paid-in Capital</t>
  </si>
  <si>
    <t>- Retained Earnings</t>
  </si>
  <si>
    <t>- Accumulated Other Comprehensive Income</t>
  </si>
  <si>
    <t>- Treasury Stock</t>
  </si>
  <si>
    <t>ASSETS</t>
  </si>
  <si>
    <t>- Cash and Cash Equivalents</t>
  </si>
  <si>
    <t>At face value</t>
  </si>
  <si>
    <t>Liquid assets readily convertible to cash</t>
  </si>
  <si>
    <t>- Marketable Securities</t>
  </si>
  <si>
    <t>Fair value (mark-to-market)</t>
  </si>
  <si>
    <t>Short-term investments that can be easily sold</t>
  </si>
  <si>
    <t>- Accounts Receivable</t>
  </si>
  <si>
    <t>Net realizable value (Invoice amount less allowance for doubtful accounts)</t>
  </si>
  <si>
    <t>Amounts owed by customers for goods or services provided</t>
  </si>
  <si>
    <t>Based on historical trends and management's judgment</t>
  </si>
  <si>
    <t>Contra account estimating uncollectible accounts receivable</t>
  </si>
  <si>
    <t>- Inventory</t>
  </si>
  <si>
    <t>Lower of cost or market value (FIFO, LIFO, or weighted average cost)</t>
  </si>
  <si>
    <t>Goods held for sale or production</t>
  </si>
  <si>
    <t>- Prepaid Expenses</t>
  </si>
  <si>
    <t>Cost less accumulated amortization</t>
  </si>
  <si>
    <t>Expenses paid in advance and expensed over time</t>
  </si>
  <si>
    <t>Non-Current Assets</t>
  </si>
  <si>
    <t>- Long-term Investments</t>
  </si>
  <si>
    <t>Cost or equity method (depending on the level of ownership)</t>
  </si>
  <si>
    <t>Investments held for more than one year</t>
  </si>
  <si>
    <t>- Property, Plant, and Equipment</t>
  </si>
  <si>
    <t>Historical cost less accumulated depreciation (straight-line, declining balance, or units of production method)</t>
  </si>
  <si>
    <t>Tangible assets used in business operations</t>
  </si>
  <si>
    <t>Based on the depreciation method selected</t>
  </si>
  <si>
    <t>Contra account reflecting the decrease in value of property, plant, and equipment over time</t>
  </si>
  <si>
    <t>- Intangible Assets</t>
  </si>
  <si>
    <t>Cost less accumulated amortization (straight-line or useful life basis)</t>
  </si>
  <si>
    <t>Assets without physical substance, e.g., patents, trademarks, copyrights</t>
  </si>
  <si>
    <t>Based on the amortization method selected</t>
  </si>
  <si>
    <t>Contra account reflecting the decrease in value of intangible assets over time</t>
  </si>
  <si>
    <t>- Goodwill</t>
  </si>
  <si>
    <t>Residual value after purchase price allocation (subject to impairment testing)</t>
  </si>
  <si>
    <t>Excess of purchase price over the fair value of net identifiable assets acquired in a business combination</t>
  </si>
  <si>
    <t>- Current Portion of Long-term Debt</t>
  </si>
  <si>
    <t>- Pension Obligations</t>
  </si>
  <si>
    <t>-  (Accumulated Amortization)</t>
  </si>
  <si>
    <t>- (Accumulated Depreciation)</t>
  </si>
  <si>
    <t>-  (Allowance for Doubtful Accounts)</t>
  </si>
  <si>
    <t>Increase</t>
  </si>
  <si>
    <t>Increase in Value</t>
  </si>
  <si>
    <t xml:space="preserve"> Decrease in Value</t>
  </si>
  <si>
    <t>Total Current Assets</t>
  </si>
  <si>
    <t>Total Non-Current Assets</t>
  </si>
  <si>
    <t>Total Current Liabilities</t>
  </si>
  <si>
    <t>Total Non-Current Liabilities</t>
  </si>
  <si>
    <t>Total Shareholder's Equity</t>
  </si>
  <si>
    <t>Decrease</t>
  </si>
  <si>
    <t>Liabilities</t>
  </si>
  <si>
    <t>Shareholder's Equity</t>
  </si>
  <si>
    <t>Income Statement Components</t>
  </si>
  <si>
    <t>REVENUES</t>
  </si>
  <si>
    <t>- Sales Revenue</t>
  </si>
  <si>
    <t>Based on the sales price of goods or services sold</t>
  </si>
  <si>
    <t>Income from selling goods or services</t>
  </si>
  <si>
    <t>- Sales Returns and Allowances</t>
  </si>
  <si>
    <t>Based on returned or damaged goods, or discounts granted</t>
  </si>
  <si>
    <t>Reduction in revenue due to returned or damaged goods, or discounts</t>
  </si>
  <si>
    <t>- Sales Discounts</t>
  </si>
  <si>
    <t>Based on discount terms provided to customers for early payment</t>
  </si>
  <si>
    <t>Reduction in revenue due to early payment discounts</t>
  </si>
  <si>
    <t>COST OF GOODS SOLD (COGS)</t>
  </si>
  <si>
    <t>- Cost of Goods Sold</t>
  </si>
  <si>
    <t>Based on the cost of inventory sold (FIFO, LIFO, or weighted average cost)</t>
  </si>
  <si>
    <t>Cost of inventory items sold during the period</t>
  </si>
  <si>
    <t>GROSS PROFIT</t>
  </si>
  <si>
    <t>- Gross Profit</t>
  </si>
  <si>
    <t>Sales Revenue less Sales Returns and Allowances, Sales Discounts, and Cost of Goods Sold</t>
  </si>
  <si>
    <t>Income remaining after deducting the cost of goods sold from net sales</t>
  </si>
  <si>
    <t>OPERATING EXPENSES</t>
  </si>
  <si>
    <t>- Selling, General, and Administrative Expenses</t>
  </si>
  <si>
    <t>Based on expenses incurred in the normal course of business</t>
  </si>
  <si>
    <t>Expenses related to sales and administration</t>
  </si>
  <si>
    <t>- Depreciation and Amortization</t>
  </si>
  <si>
    <t>Based on the depreciation method for tangible assets and the amortization method for intangible assets</t>
  </si>
  <si>
    <t>Allocation of the cost of assets over their useful lives</t>
  </si>
  <si>
    <t>OPERATING INCOME</t>
  </si>
  <si>
    <t>- Operating Income</t>
  </si>
  <si>
    <t>Gross Profit less Operating Expenses</t>
  </si>
  <si>
    <t>Income from regular business operations</t>
  </si>
  <si>
    <t>NON-OPERATING ITEMS</t>
  </si>
  <si>
    <t>Based on interest earned from investments and cash holdings</t>
  </si>
  <si>
    <t>Income earned from investments and cash holdings</t>
  </si>
  <si>
    <t>- Interest Expense</t>
  </si>
  <si>
    <t>Based on interest paid on debt</t>
  </si>
  <si>
    <t>Cost of borrowing money</t>
  </si>
  <si>
    <t>- Gain or Loss on Sale of Assets</t>
  </si>
  <si>
    <t>Based on the difference between the sale price and the net book value of assets sold</t>
  </si>
  <si>
    <t>Income or expense resulting from the sale of assets</t>
  </si>
  <si>
    <t>- Other Income or Expense</t>
  </si>
  <si>
    <t>Based on specific items, such as foreign currency gains or losses, or income from discontinued operations</t>
  </si>
  <si>
    <t>Other items not related to normal business operations</t>
  </si>
  <si>
    <t>INCOME BEFORE TAXES</t>
  </si>
  <si>
    <t>- Income Before Taxes</t>
  </si>
  <si>
    <t>Operating Income plus Non-Operating Items</t>
  </si>
  <si>
    <t>Income before accounting for income taxes</t>
  </si>
  <si>
    <t>INCOME TAX EXPENSE</t>
  </si>
  <si>
    <t>- Income Tax Expense</t>
  </si>
  <si>
    <t>Based on the applicable tax rate and income before taxes</t>
  </si>
  <si>
    <t>Expense related to income taxes</t>
  </si>
  <si>
    <t>NET INCOME</t>
  </si>
  <si>
    <t>- Net Income</t>
  </si>
  <si>
    <t>Income Before Taxes less Income Tax Expense</t>
  </si>
  <si>
    <t>Final income after accounting for all revenues, expenses</t>
  </si>
  <si>
    <t>Income Statement</t>
  </si>
  <si>
    <t>For the Years Ending [Dec 31, 2020 and Dec 31, 2019]</t>
  </si>
  <si>
    <t>Revenue</t>
  </si>
  <si>
    <t>Gross sales</t>
  </si>
  <si>
    <t>(Less sales returns and allowances)</t>
  </si>
  <si>
    <t>Net Sales</t>
  </si>
  <si>
    <t>Cost of Goods Sold</t>
  </si>
  <si>
    <t>Beginning inventory</t>
  </si>
  <si>
    <t>Goods purchased</t>
  </si>
  <si>
    <t>Goods manufactured: Raw materials</t>
  </si>
  <si>
    <t>Goods manufactured: Direct Labor</t>
  </si>
  <si>
    <t>Total Goods Available</t>
  </si>
  <si>
    <t>(Less ending inventory)</t>
  </si>
  <si>
    <t>Gross Profit (Loss)</t>
  </si>
  <si>
    <t>Expenses</t>
  </si>
  <si>
    <t>Advertising</t>
  </si>
  <si>
    <t>Bad debt</t>
  </si>
  <si>
    <t>Commissions</t>
  </si>
  <si>
    <t>Depreciation</t>
  </si>
  <si>
    <t>Employee benefits</t>
  </si>
  <si>
    <t>Furniture and equipment</t>
  </si>
  <si>
    <t>Insurance</t>
  </si>
  <si>
    <t>Maintenance and repairs</t>
  </si>
  <si>
    <t>Office supplies</t>
  </si>
  <si>
    <t>Payroll taxes</t>
  </si>
  <si>
    <t>Rent</t>
  </si>
  <si>
    <t>Research and development</t>
  </si>
  <si>
    <t>Salaries and wages</t>
  </si>
  <si>
    <t>Software</t>
  </si>
  <si>
    <t>Travel</t>
  </si>
  <si>
    <t>Utilities</t>
  </si>
  <si>
    <t>Web hosting and domains</t>
  </si>
  <si>
    <t>Total Operating Expenses</t>
  </si>
  <si>
    <t>Operating Income (Loss)</t>
  </si>
  <si>
    <t>Non-operating revenues, expenses, gains, losses</t>
  </si>
  <si>
    <t>(Less interest expense)</t>
  </si>
  <si>
    <t>Income Before Taxes</t>
  </si>
  <si>
    <t>(Less income tax expense)</t>
  </si>
  <si>
    <t>Income From Continuing Operations</t>
  </si>
  <si>
    <t>Below-the-Line Items</t>
  </si>
  <si>
    <t>Income from discontinued operations</t>
  </si>
  <si>
    <t>Extraordinary items</t>
  </si>
  <si>
    <t>Cumulative effect of accounting changes</t>
  </si>
  <si>
    <t>Net Income</t>
  </si>
  <si>
    <t>Total Non-Operating Items</t>
  </si>
  <si>
    <t>Cash Flow Statement</t>
  </si>
  <si>
    <t>For the Year Ending</t>
  </si>
  <si>
    <t>Cash at Beginning of Year</t>
  </si>
  <si>
    <t>Operations</t>
  </si>
  <si>
    <t>Cash receipts from</t>
  </si>
  <si>
    <t>Customers</t>
  </si>
  <si>
    <t>Other Operations</t>
  </si>
  <si>
    <t>Cash paid for</t>
  </si>
  <si>
    <t>Inventory purchases</t>
  </si>
  <si>
    <t>General operating and administrative expenses</t>
  </si>
  <si>
    <t>Wage expenses</t>
  </si>
  <si>
    <t>Interest</t>
  </si>
  <si>
    <t>Income taxes</t>
  </si>
  <si>
    <t>Net Cash Flow from Operations</t>
  </si>
  <si>
    <t>Investing Activities</t>
  </si>
  <si>
    <t>Sale of property and equipment</t>
  </si>
  <si>
    <t>Collection of principal on loans</t>
  </si>
  <si>
    <t>Sale of investment securities</t>
  </si>
  <si>
    <t>Purchase of property and equipment</t>
  </si>
  <si>
    <t>Making loans to other entities</t>
  </si>
  <si>
    <t>Purchase of investment securities</t>
  </si>
  <si>
    <t>Net Cash Flow from Investing Activities</t>
  </si>
  <si>
    <t>Financing Activities</t>
  </si>
  <si>
    <t>Issuance of stock</t>
  </si>
  <si>
    <t>Borrowing</t>
  </si>
  <si>
    <t>Repurchase of stock (treasury stock)</t>
  </si>
  <si>
    <t>Repayment of loans</t>
  </si>
  <si>
    <t>Dividends</t>
  </si>
  <si>
    <t>Net Cash Flow from Financing Activities</t>
  </si>
  <si>
    <t>Net Increase in Cash</t>
  </si>
  <si>
    <t>Cash at End of Year</t>
  </si>
  <si>
    <t>Cash Flow Components</t>
  </si>
  <si>
    <t>Operating Activities</t>
  </si>
  <si>
    <t>Based on the net income from the income statement</t>
  </si>
  <si>
    <t>Starting point for the operating cash flows</t>
  </si>
  <si>
    <t>Adjustments to reconcile net income to net cash provided by operating activities:</t>
  </si>
  <si>
    <t>Based on the depreciation and amortization expense from the income statement</t>
  </si>
  <si>
    <t>Non-cash expense added back to net income</t>
  </si>
  <si>
    <t>- (Increase)/Decrease in Accounts Receivable</t>
  </si>
  <si>
    <t>Based on the change in accounts receivable during the period</t>
  </si>
  <si>
    <t>Decrease in receivables increases cash, increase in receivables decreases cash</t>
  </si>
  <si>
    <t>- (Increase)/Decrease in Inventory</t>
  </si>
  <si>
    <t>Based on the change in inventory during the period</t>
  </si>
  <si>
    <t>Decrease in inventory increases cash, increase in inventory decreases cash</t>
  </si>
  <si>
    <t>- Increase/(Decrease) in Accounts Payable</t>
  </si>
  <si>
    <t>Based on the change in accounts payable during the period</t>
  </si>
  <si>
    <t>Increase in payables increases cash, decrease in payables decreases cash</t>
  </si>
  <si>
    <t>- Increase/(Decrease) in Accrued Expenses</t>
  </si>
  <si>
    <t>Based on the change in accrued expenses during the period</t>
  </si>
  <si>
    <t>Increase in accrued expenses increases cash, decrease in accrued expenses decreases cash</t>
  </si>
  <si>
    <t>- Others</t>
  </si>
  <si>
    <t>Adjustments for other non-cash items or working capital changes</t>
  </si>
  <si>
    <t>Other non-cash items or working capital changes affecting cash flow</t>
  </si>
  <si>
    <t>Net Cash Provided by Operating Activities</t>
  </si>
  <si>
    <t>Sum of all adjustments and net income</t>
  </si>
  <si>
    <t>Total cash flow from operating activities</t>
  </si>
  <si>
    <t>- Purchase of Property, Plant, and Equipment</t>
  </si>
  <si>
    <t>Based on the cash spent on acquiring property, plant, and equipment</t>
  </si>
  <si>
    <t>Cash outflow for capital expenditures</t>
  </si>
  <si>
    <t>- Proceeds from Sale of Property, Plant, and Equipment</t>
  </si>
  <si>
    <t>Based on the cash received from the sale of property, plant, and equipment</t>
  </si>
  <si>
    <t>Cash inflow from the sale of assets</t>
  </si>
  <si>
    <t>- Purchase of Marketable Securities</t>
  </si>
  <si>
    <t>Based on the cash spent on acquiring marketable securities</t>
  </si>
  <si>
    <t>Cash outflow for investments</t>
  </si>
  <si>
    <t>- Proceeds from Sale of Marketable Securities</t>
  </si>
  <si>
    <t>Based on the cash received from the sale of marketable securities</t>
  </si>
  <si>
    <t>Cash inflow from the sale of investments</t>
  </si>
  <si>
    <t>Adjustments for other investing activities</t>
  </si>
  <si>
    <t>Other investing activities affecting cash flow</t>
  </si>
  <si>
    <t>Net Cash Used in Investing Activities</t>
  </si>
  <si>
    <t>Sum of all investing activities</t>
  </si>
  <si>
    <t>Total cash flow from investing activities</t>
  </si>
  <si>
    <t>- Proceeds from Issuance of Debt</t>
  </si>
  <si>
    <t>Based on the cash received from issuing debt</t>
  </si>
  <si>
    <t>Cash inflow from debt issuance</t>
  </si>
  <si>
    <t>- Repayment of Debt</t>
  </si>
  <si>
    <t>Based on the cash spent on repaying debt</t>
  </si>
  <si>
    <t>Cash outflow for debt repayment</t>
  </si>
  <si>
    <t>- Proceeds from Issuance of Equity</t>
  </si>
  <si>
    <t>Based on the cash received from issuing equity</t>
  </si>
  <si>
    <t>Cash inflow from equity issuance</t>
  </si>
  <si>
    <t>- Repurchase of Equity</t>
  </si>
  <si>
    <t>Based on the cash spent on repurchasing equity</t>
  </si>
  <si>
    <t>Cash outflow for equity repurchase</t>
  </si>
  <si>
    <t>- Payment of Dividends</t>
  </si>
  <si>
    <t>Based on the cash spent on dividend payments</t>
  </si>
  <si>
    <t>Cash outflow for dividend payments</t>
  </si>
  <si>
    <t>Adjustments for other financing activities</t>
  </si>
  <si>
    <t>Other financing activities affecting cash flow</t>
  </si>
  <si>
    <t>Net Cash Provided by (Used in) Financing Activities</t>
  </si>
  <si>
    <t>Sum of all financing activities</t>
  </si>
  <si>
    <t>Total cash flow from financing activities</t>
  </si>
  <si>
    <t>Net Increase (Decrease) in Cash</t>
  </si>
  <si>
    <t>Sum of net cash provided by operating activities, net cash used in investing activities, and net cash provided by (used in) financing activities</t>
  </si>
  <si>
    <t>Overall change in cash during the period</t>
  </si>
  <si>
    <t>Cash at Beginning of Period</t>
  </si>
  <si>
    <t>Based on the cash balance at the beginning of the period</t>
  </si>
  <si>
    <t>Starting cash balance</t>
  </si>
  <si>
    <t>Cash at End of Period</t>
  </si>
  <si>
    <t>Sum of net increase (decrease) in cash and cash at the beginning of the period</t>
  </si>
  <si>
    <t>Ending cash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</si>
</sst>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164" formatCode="#."/>
    <numFmt numFmtId="165" formatCode="\-#"/>
  </numFmts>
  <fonts count="50" x14ac:knownFonts="1">
    <font>
      <sz val="8"/>
      <color theme="1"/>
      <name val="Times New Roman"/>
      <family val="2"/>
    </font>
    <font>
      <sz val="8"/>
      <color theme="1"/>
      <name val="Times New Roman"/>
      <family val="2"/>
    </font>
    <font>
      <b/>
      <sz val="8"/>
      <color theme="0"/>
      <name val="Times New Roman"/>
      <family val="2"/>
    </font>
    <font>
      <b/>
      <sz val="8"/>
      <color theme="1"/>
      <name val="Times New Roman"/>
      <family val="2"/>
    </font>
    <font>
      <sz val="6"/>
      <color theme="1"/>
      <name val="Times New Roman"/>
      <family val="2"/>
    </font>
    <font>
      <sz val="10"/>
      <name val="Arial"/>
      <family val="2"/>
    </font>
    <font>
      <sz val="18"/>
      <name val="Calibri Light"/>
      <family val="1"/>
      <scheme val="major"/>
    </font>
    <font>
      <b/>
      <sz val="20"/>
      <color theme="4"/>
      <name val="Calibri Light"/>
      <family val="1"/>
      <scheme val="maj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indexed="9"/>
      <name val="Calibri Light"/>
      <family val="1"/>
      <scheme val="major"/>
    </font>
    <font>
      <b/>
      <i/>
      <sz val="11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2"/>
      <name val="Calibri"/>
      <family val="2"/>
      <scheme val="minor"/>
    </font>
    <font>
      <sz val="2"/>
      <color indexed="9"/>
      <name val="Calibri"/>
      <family val="2"/>
      <scheme val="minor"/>
    </font>
    <font>
      <sz val="10"/>
      <color theme="0"/>
      <name val="Arial"/>
      <family val="2"/>
    </font>
    <font>
      <sz val="10"/>
      <color theme="0"/>
      <name val="Calibri"/>
      <family val="2"/>
      <scheme val="minor"/>
    </font>
    <font>
      <sz val="2"/>
      <color theme="0"/>
      <name val="Arial"/>
      <family val="2"/>
    </font>
    <font>
      <sz val="6"/>
      <color theme="0"/>
      <name val="Times New Roman"/>
      <family val="2"/>
    </font>
    <font>
      <sz val="6"/>
      <color theme="1"/>
      <name val="Times New Roman"/>
      <family val="1"/>
    </font>
    <font>
      <sz val="8"/>
      <color theme="1"/>
      <name val="Times New Roman"/>
      <family val="1"/>
    </font>
    <font>
      <b/>
      <sz val="12"/>
      <color theme="0"/>
      <name val="Times New Roman"/>
      <family val="1"/>
    </font>
    <font>
      <sz val="10"/>
      <color theme="1"/>
      <name val="Times New Roman"/>
      <family val="1"/>
    </font>
    <font>
      <sz val="6"/>
      <color theme="5" tint="-0.499984740745262"/>
      <name val="Times New Roman"/>
      <family val="1"/>
    </font>
    <font>
      <sz val="6"/>
      <color theme="5" tint="-0.499984740745262"/>
      <name val="Times New Roman"/>
      <family val="2"/>
    </font>
    <font>
      <sz val="6"/>
      <name val="Times New Roman"/>
      <family val="1"/>
    </font>
    <font>
      <i/>
      <sz val="6"/>
      <color theme="1"/>
      <name val="Times New Roman"/>
      <family val="1"/>
    </font>
    <font>
      <sz val="7"/>
      <color theme="1"/>
      <name val="Times New Roman"/>
      <family val="1"/>
    </font>
    <font>
      <sz val="7"/>
      <color theme="5" tint="-0.499984740745262"/>
      <name val="Times New Roman"/>
      <family val="1"/>
    </font>
    <font>
      <sz val="10"/>
      <color theme="1"/>
      <name val="Times New Roman"/>
      <family val="2"/>
    </font>
    <font>
      <sz val="16"/>
      <name val="Calibri Light"/>
      <family val="2"/>
      <scheme val="major"/>
    </font>
    <font>
      <b/>
      <sz val="20"/>
      <color theme="4"/>
      <name val="Calibri Light"/>
      <family val="2"/>
      <scheme val="major"/>
    </font>
    <font>
      <b/>
      <sz val="14"/>
      <color indexed="9"/>
      <name val="Calibri Light"/>
      <family val="2"/>
      <scheme val="major"/>
    </font>
    <font>
      <b/>
      <sz val="14"/>
      <color indexed="9"/>
      <name val="Arial"/>
      <family val="2"/>
    </font>
    <font>
      <b/>
      <sz val="8"/>
      <color theme="1"/>
      <name val="Times New Roman"/>
      <family val="1"/>
    </font>
    <font>
      <b/>
      <sz val="10"/>
      <color theme="1"/>
      <name val="Times New Roman"/>
      <family val="1"/>
    </font>
    <font>
      <b/>
      <sz val="9"/>
      <color theme="1"/>
      <name val="Times New Roman"/>
      <family val="1"/>
    </font>
    <font>
      <sz val="6"/>
      <name val="Calibri"/>
      <family val="2"/>
      <scheme val="minor"/>
    </font>
    <font>
      <b/>
      <sz val="7"/>
      <color theme="1"/>
      <name val="Times New Roman"/>
      <family val="1"/>
    </font>
    <font>
      <sz val="16"/>
      <name val="Calibri Light"/>
      <family val="1"/>
      <scheme val="major"/>
    </font>
    <font>
      <b/>
      <sz val="16"/>
      <color theme="4"/>
      <name val="Calibri Light"/>
      <family val="1"/>
      <scheme val="major"/>
    </font>
    <font>
      <b/>
      <sz val="12"/>
      <color indexed="9"/>
      <name val="Calibri Light"/>
      <family val="1"/>
      <scheme val="major"/>
    </font>
    <font>
      <b/>
      <sz val="12"/>
      <color indexed="9"/>
      <name val="Arial"/>
      <family val="2"/>
    </font>
    <font>
      <sz val="10"/>
      <color indexed="9"/>
      <name val="Arial"/>
      <family val="2"/>
    </font>
    <font>
      <sz val="12"/>
      <name val="Calibri"/>
      <family val="2"/>
      <scheme val="minor"/>
    </font>
    <font>
      <sz val="6"/>
      <color indexed="9"/>
      <name val="Arial"/>
      <family val="2"/>
    </font>
    <font>
      <sz val="10"/>
      <color indexed="9"/>
      <name val="Calibri"/>
      <family val="2"/>
      <scheme val="minor"/>
    </font>
    <font>
      <sz val="3"/>
      <color indexed="9"/>
      <name val="Calibri"/>
      <family val="2"/>
      <scheme val="minor"/>
    </font>
    <font>
      <b/>
      <sz val="10"/>
      <color theme="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FAA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" fontId="4" fillId="11" borderId="0">
      <alignment wrapText="1"/>
    </xf>
    <xf numFmtId="4" fontId="4" fillId="10" borderId="0">
      <alignment wrapText="1"/>
    </xf>
  </cellStyleXfs>
  <cellXfs count="123">
    <xf numFmtId="0" fontId="0" fillId="0" borderId="0" xfId="0"/>
    <xf numFmtId="4" fontId="4" fillId="0" borderId="0" xfId="0" applyNumberFormat="1" applyFont="1" applyAlignment="1">
      <alignment wrapText="1"/>
    </xf>
    <xf numFmtId="0" fontId="3" fillId="0" borderId="0" xfId="0" applyNumberFormat="1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6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>
      <alignment vertical="center"/>
    </xf>
    <xf numFmtId="0" fontId="10" fillId="2" borderId="0" xfId="0" applyFont="1" applyFill="1" applyAlignment="1">
      <alignment vertical="center"/>
    </xf>
    <xf numFmtId="0" fontId="10" fillId="2" borderId="0" xfId="0" applyFont="1" applyFill="1" applyAlignment="1" applyProtection="1">
      <alignment vertical="center"/>
      <protection locked="0"/>
    </xf>
    <xf numFmtId="0" fontId="11" fillId="3" borderId="0" xfId="0" applyFont="1" applyFill="1" applyAlignment="1">
      <alignment vertical="center"/>
    </xf>
    <xf numFmtId="0" fontId="12" fillId="3" borderId="0" xfId="0" applyFont="1" applyFill="1" applyAlignment="1">
      <alignment vertical="center"/>
    </xf>
    <xf numFmtId="41" fontId="8" fillId="3" borderId="0" xfId="1" applyNumberFormat="1" applyFont="1" applyFill="1" applyAlignment="1" applyProtection="1">
      <alignment vertical="center"/>
    </xf>
    <xf numFmtId="41" fontId="8" fillId="0" borderId="0" xfId="1" applyNumberFormat="1" applyFont="1" applyAlignment="1" applyProtection="1">
      <alignment vertical="center"/>
      <protection locked="0"/>
    </xf>
    <xf numFmtId="0" fontId="13" fillId="0" borderId="0" xfId="0" applyFont="1" applyAlignment="1">
      <alignment horizontal="right" vertical="center"/>
    </xf>
    <xf numFmtId="42" fontId="8" fillId="4" borderId="1" xfId="1" applyNumberFormat="1" applyFont="1" applyFill="1" applyBorder="1" applyAlignment="1" applyProtection="1">
      <alignment vertical="center"/>
    </xf>
    <xf numFmtId="0" fontId="14" fillId="4" borderId="0" xfId="0" applyFont="1" applyFill="1" applyAlignment="1">
      <alignment vertical="center"/>
    </xf>
    <xf numFmtId="42" fontId="14" fillId="3" borderId="3" xfId="0" applyNumberFormat="1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9" fillId="4" borderId="0" xfId="0" applyFont="1" applyFill="1" applyAlignment="1">
      <alignment vertical="center"/>
    </xf>
    <xf numFmtId="2" fontId="8" fillId="4" borderId="0" xfId="2" applyNumberFormat="1" applyFont="1" applyFill="1" applyAlignment="1" applyProtection="1">
      <alignment vertical="center"/>
    </xf>
    <xf numFmtId="41" fontId="8" fillId="4" borderId="0" xfId="1" applyNumberFormat="1" applyFont="1" applyFill="1" applyAlignment="1" applyProtection="1">
      <alignment vertical="center"/>
    </xf>
    <xf numFmtId="0" fontId="5" fillId="0" borderId="0" xfId="0" applyFont="1"/>
    <xf numFmtId="0" fontId="8" fillId="0" borderId="0" xfId="0" applyFont="1" applyAlignment="1">
      <alignment horizontal="right" vertical="center"/>
    </xf>
    <xf numFmtId="164" fontId="8" fillId="0" borderId="0" xfId="0" applyNumberFormat="1" applyFont="1" applyAlignment="1">
      <alignment horizontal="right" vertical="center"/>
    </xf>
    <xf numFmtId="0" fontId="2" fillId="0" borderId="0" xfId="0" applyNumberFormat="1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64" fontId="17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16" fillId="0" borderId="0" xfId="0" applyFont="1"/>
    <xf numFmtId="4" fontId="19" fillId="0" borderId="0" xfId="0" applyNumberFormat="1" applyFont="1" applyAlignment="1">
      <alignment wrapText="1"/>
    </xf>
    <xf numFmtId="49" fontId="3" fillId="0" borderId="0" xfId="0" applyNumberFormat="1" applyFont="1" applyBorder="1" applyAlignment="1">
      <alignment horizontal="center" vertical="center" wrapText="1"/>
    </xf>
    <xf numFmtId="49" fontId="4" fillId="0" borderId="0" xfId="0" applyNumberFormat="1" applyFont="1" applyAlignment="1">
      <alignment wrapText="1"/>
    </xf>
    <xf numFmtId="4" fontId="4" fillId="0" borderId="0" xfId="0" applyNumberFormat="1" applyFont="1" applyAlignment="1">
      <alignment horizontal="right" wrapText="1"/>
    </xf>
    <xf numFmtId="4" fontId="20" fillId="0" borderId="0" xfId="0" applyNumberFormat="1" applyFont="1" applyAlignment="1">
      <alignment horizontal="right" wrapText="1"/>
    </xf>
    <xf numFmtId="49" fontId="20" fillId="0" borderId="0" xfId="0" applyNumberFormat="1" applyFont="1" applyAlignment="1">
      <alignment horizontal="right" wrapText="1"/>
    </xf>
    <xf numFmtId="0" fontId="21" fillId="0" borderId="0" xfId="0" applyNumberFormat="1" applyFont="1" applyBorder="1" applyAlignment="1">
      <alignment horizontal="right" vertical="center" wrapText="1"/>
    </xf>
    <xf numFmtId="49" fontId="24" fillId="0" borderId="0" xfId="0" applyNumberFormat="1" applyFont="1" applyAlignment="1">
      <alignment horizontal="right" wrapText="1"/>
    </xf>
    <xf numFmtId="4" fontId="25" fillId="0" borderId="0" xfId="0" applyNumberFormat="1" applyFont="1" applyAlignment="1">
      <alignment wrapText="1"/>
    </xf>
    <xf numFmtId="4" fontId="24" fillId="0" borderId="0" xfId="0" applyNumberFormat="1" applyFont="1" applyAlignment="1">
      <alignment wrapText="1"/>
    </xf>
    <xf numFmtId="4" fontId="27" fillId="0" borderId="0" xfId="0" applyNumberFormat="1" applyFont="1" applyAlignment="1">
      <alignment horizontal="right" wrapText="1"/>
    </xf>
    <xf numFmtId="49" fontId="27" fillId="0" borderId="0" xfId="0" applyNumberFormat="1" applyFont="1" applyAlignment="1">
      <alignment horizontal="right" wrapText="1"/>
    </xf>
    <xf numFmtId="4" fontId="28" fillId="0" borderId="0" xfId="0" applyNumberFormat="1" applyFont="1" applyAlignment="1">
      <alignment horizontal="right" wrapText="1"/>
    </xf>
    <xf numFmtId="49" fontId="29" fillId="0" borderId="0" xfId="0" applyNumberFormat="1" applyFont="1" applyAlignment="1">
      <alignment horizontal="right" wrapText="1"/>
    </xf>
    <xf numFmtId="49" fontId="28" fillId="0" borderId="0" xfId="0" applyNumberFormat="1" applyFont="1" applyAlignment="1">
      <alignment horizontal="right" wrapText="1"/>
    </xf>
    <xf numFmtId="4" fontId="4" fillId="0" borderId="2" xfId="0" applyNumberFormat="1" applyFont="1" applyBorder="1" applyAlignment="1">
      <alignment wrapText="1"/>
    </xf>
    <xf numFmtId="49" fontId="20" fillId="7" borderId="0" xfId="0" applyNumberFormat="1" applyFont="1" applyFill="1" applyAlignment="1">
      <alignment wrapText="1"/>
    </xf>
    <xf numFmtId="4" fontId="4" fillId="9" borderId="2" xfId="0" applyNumberFormat="1" applyFont="1" applyFill="1" applyBorder="1" applyAlignment="1">
      <alignment wrapText="1"/>
    </xf>
    <xf numFmtId="4" fontId="4" fillId="9" borderId="0" xfId="0" applyNumberFormat="1" applyFont="1" applyFill="1" applyAlignment="1">
      <alignment wrapText="1"/>
    </xf>
    <xf numFmtId="0" fontId="31" fillId="0" borderId="0" xfId="0" applyFont="1" applyAlignment="1" applyProtection="1">
      <alignment vertical="center"/>
      <protection locked="0"/>
    </xf>
    <xf numFmtId="0" fontId="32" fillId="0" borderId="0" xfId="0" applyFont="1" applyAlignment="1">
      <alignment horizontal="right" vertical="center"/>
    </xf>
    <xf numFmtId="0" fontId="8" fillId="0" borderId="0" xfId="0" applyFont="1" applyAlignment="1" applyProtection="1">
      <alignment horizontal="right" vertical="center"/>
      <protection locked="0"/>
    </xf>
    <xf numFmtId="0" fontId="33" fillId="2" borderId="0" xfId="0" applyFont="1" applyFill="1" applyAlignment="1">
      <alignment vertical="center"/>
    </xf>
    <xf numFmtId="0" fontId="34" fillId="2" borderId="0" xfId="0" applyFont="1" applyFill="1" applyAlignment="1" applyProtection="1">
      <alignment vertical="center"/>
      <protection locked="0"/>
    </xf>
    <xf numFmtId="41" fontId="8" fillId="0" borderId="4" xfId="1" applyNumberFormat="1" applyFont="1" applyBorder="1" applyAlignment="1" applyProtection="1">
      <alignment vertical="center"/>
      <protection locked="0"/>
    </xf>
    <xf numFmtId="41" fontId="14" fillId="4" borderId="1" xfId="0" applyNumberFormat="1" applyFont="1" applyFill="1" applyBorder="1" applyAlignment="1">
      <alignment vertical="center"/>
    </xf>
    <xf numFmtId="0" fontId="34" fillId="2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41" fontId="8" fillId="4" borderId="1" xfId="0" applyNumberFormat="1" applyFont="1" applyFill="1" applyBorder="1" applyAlignment="1">
      <alignment vertical="center"/>
    </xf>
    <xf numFmtId="0" fontId="15" fillId="0" borderId="0" xfId="0" applyFont="1" applyAlignment="1">
      <alignment vertical="center"/>
    </xf>
    <xf numFmtId="41" fontId="14" fillId="3" borderId="3" xfId="0" applyNumberFormat="1" applyFont="1" applyFill="1" applyBorder="1" applyAlignment="1">
      <alignment vertical="center"/>
    </xf>
    <xf numFmtId="4" fontId="35" fillId="0" borderId="0" xfId="0" applyNumberFormat="1" applyFont="1" applyAlignment="1">
      <alignment wrapText="1"/>
    </xf>
    <xf numFmtId="4" fontId="27" fillId="0" borderId="0" xfId="0" applyNumberFormat="1" applyFont="1" applyAlignment="1">
      <alignment wrapText="1"/>
    </xf>
    <xf numFmtId="0" fontId="0" fillId="10" borderId="0" xfId="0" applyFill="1"/>
    <xf numFmtId="4" fontId="4" fillId="10" borderId="0" xfId="0" applyNumberFormat="1" applyFont="1" applyFill="1" applyAlignment="1">
      <alignment wrapText="1"/>
    </xf>
    <xf numFmtId="2" fontId="4" fillId="11" borderId="0" xfId="0" applyNumberFormat="1" applyFont="1" applyFill="1"/>
    <xf numFmtId="2" fontId="4" fillId="11" borderId="0" xfId="0" applyNumberFormat="1" applyFont="1" applyFill="1" applyAlignment="1">
      <alignment wrapText="1"/>
    </xf>
    <xf numFmtId="0" fontId="38" fillId="0" borderId="0" xfId="0" applyFont="1" applyAlignment="1" applyProtection="1">
      <alignment vertical="center"/>
      <protection locked="0"/>
    </xf>
    <xf numFmtId="0" fontId="36" fillId="0" borderId="0" xfId="0" applyNumberFormat="1" applyFont="1" applyBorder="1" applyAlignment="1">
      <alignment vertical="center" wrapText="1"/>
    </xf>
    <xf numFmtId="4" fontId="36" fillId="0" borderId="0" xfId="0" applyNumberFormat="1" applyFont="1" applyAlignment="1">
      <alignment wrapText="1"/>
    </xf>
    <xf numFmtId="4" fontId="37" fillId="0" borderId="0" xfId="0" applyNumberFormat="1" applyFont="1" applyAlignment="1">
      <alignment wrapText="1"/>
    </xf>
    <xf numFmtId="4" fontId="4" fillId="0" borderId="0" xfId="0" applyNumberFormat="1" applyFont="1" applyAlignment="1"/>
    <xf numFmtId="4" fontId="39" fillId="0" borderId="0" xfId="0" applyNumberFormat="1" applyFont="1" applyAlignment="1">
      <alignment wrapText="1"/>
    </xf>
    <xf numFmtId="14" fontId="8" fillId="0" borderId="0" xfId="0" applyNumberFormat="1" applyFont="1" applyAlignment="1" applyProtection="1">
      <alignment vertical="center"/>
      <protection locked="0"/>
    </xf>
    <xf numFmtId="38" fontId="8" fillId="0" borderId="4" xfId="1" applyNumberFormat="1" applyFont="1" applyBorder="1" applyAlignment="1" applyProtection="1">
      <alignment vertical="center"/>
      <protection locked="0"/>
    </xf>
    <xf numFmtId="0" fontId="42" fillId="2" borderId="0" xfId="0" applyFont="1" applyFill="1" applyAlignment="1">
      <alignment vertical="center"/>
    </xf>
    <xf numFmtId="0" fontId="43" fillId="2" borderId="0" xfId="0" applyFont="1" applyFill="1" applyAlignment="1">
      <alignment vertical="center"/>
    </xf>
    <xf numFmtId="0" fontId="44" fillId="0" borderId="0" xfId="0" applyFont="1" applyAlignment="1">
      <alignment vertical="center"/>
    </xf>
    <xf numFmtId="41" fontId="8" fillId="0" borderId="0" xfId="1" applyNumberFormat="1" applyFont="1" applyBorder="1" applyAlignment="1">
      <alignment vertical="center"/>
    </xf>
    <xf numFmtId="0" fontId="45" fillId="4" borderId="0" xfId="0" applyFont="1" applyFill="1" applyAlignment="1">
      <alignment vertical="center"/>
    </xf>
    <xf numFmtId="38" fontId="45" fillId="4" borderId="1" xfId="0" applyNumberFormat="1" applyFont="1" applyFill="1" applyBorder="1" applyAlignment="1">
      <alignment vertical="center"/>
    </xf>
    <xf numFmtId="0" fontId="46" fillId="0" borderId="0" xfId="0" applyFont="1" applyAlignment="1">
      <alignment horizontal="right" vertical="center"/>
    </xf>
    <xf numFmtId="0" fontId="5" fillId="0" borderId="0" xfId="0" quotePrefix="1" applyFont="1" applyAlignment="1">
      <alignment vertical="center"/>
    </xf>
    <xf numFmtId="0" fontId="45" fillId="4" borderId="0" xfId="0" applyFont="1" applyFill="1" applyAlignment="1" applyProtection="1">
      <alignment vertical="center"/>
      <protection locked="0"/>
    </xf>
    <xf numFmtId="0" fontId="47" fillId="0" borderId="0" xfId="0" applyFont="1" applyAlignment="1">
      <alignment horizontal="right" vertical="center"/>
    </xf>
    <xf numFmtId="0" fontId="45" fillId="3" borderId="0" xfId="0" applyFont="1" applyFill="1" applyAlignment="1" applyProtection="1">
      <alignment vertical="center"/>
      <protection locked="0"/>
    </xf>
    <xf numFmtId="38" fontId="14" fillId="3" borderId="3" xfId="0" applyNumberFormat="1" applyFont="1" applyFill="1" applyBorder="1" applyAlignment="1">
      <alignment vertical="center"/>
    </xf>
    <xf numFmtId="41" fontId="8" fillId="4" borderId="0" xfId="1" applyNumberFormat="1" applyFont="1" applyFill="1" applyBorder="1" applyAlignment="1">
      <alignment vertical="center"/>
    </xf>
    <xf numFmtId="0" fontId="48" fillId="0" borderId="0" xfId="0" applyFont="1" applyAlignment="1">
      <alignment vertical="center"/>
    </xf>
    <xf numFmtId="4" fontId="4" fillId="11" borderId="0" xfId="3">
      <alignment wrapText="1"/>
    </xf>
    <xf numFmtId="4" fontId="4" fillId="10" borderId="0" xfId="4">
      <alignment wrapText="1"/>
    </xf>
    <xf numFmtId="4" fontId="4" fillId="0" borderId="0" xfId="0" applyNumberFormat="1" applyFont="1" applyFill="1" applyAlignment="1">
      <alignment wrapText="1"/>
    </xf>
    <xf numFmtId="4" fontId="4" fillId="0" borderId="0" xfId="3" applyFill="1">
      <alignment wrapText="1"/>
    </xf>
    <xf numFmtId="4" fontId="27" fillId="0" borderId="0" xfId="0" applyNumberFormat="1" applyFont="1" applyFill="1" applyAlignment="1">
      <alignment wrapText="1"/>
    </xf>
    <xf numFmtId="4" fontId="20" fillId="0" borderId="0" xfId="3" applyFont="1" applyFill="1" applyAlignment="1">
      <alignment horizontal="center" wrapText="1"/>
    </xf>
    <xf numFmtId="4" fontId="20" fillId="0" borderId="0" xfId="0" applyNumberFormat="1" applyFont="1" applyFill="1" applyAlignment="1">
      <alignment wrapText="1"/>
    </xf>
    <xf numFmtId="165" fontId="26" fillId="11" borderId="0" xfId="0" applyNumberFormat="1" applyFont="1" applyFill="1" applyAlignment="1">
      <alignment wrapText="1"/>
    </xf>
    <xf numFmtId="0" fontId="7" fillId="0" borderId="0" xfId="0" applyFont="1" applyAlignment="1">
      <alignment horizontal="center" vertical="center"/>
    </xf>
    <xf numFmtId="49" fontId="22" fillId="5" borderId="0" xfId="0" applyNumberFormat="1" applyFont="1" applyFill="1" applyAlignment="1">
      <alignment wrapText="1"/>
    </xf>
    <xf numFmtId="4" fontId="4" fillId="8" borderId="0" xfId="0" applyNumberFormat="1" applyFont="1" applyFill="1" applyAlignment="1">
      <alignment horizontal="center" wrapText="1"/>
    </xf>
    <xf numFmtId="0" fontId="22" fillId="5" borderId="0" xfId="0" applyNumberFormat="1" applyFont="1" applyFill="1" applyBorder="1" applyAlignment="1">
      <alignment vertical="center" wrapText="1"/>
    </xf>
    <xf numFmtId="0" fontId="23" fillId="6" borderId="0" xfId="0" applyNumberFormat="1" applyFont="1" applyFill="1" applyBorder="1" applyAlignment="1">
      <alignment vertical="center" wrapText="1"/>
    </xf>
    <xf numFmtId="4" fontId="23" fillId="6" borderId="0" xfId="0" applyNumberFormat="1" applyFont="1" applyFill="1" applyAlignment="1">
      <alignment wrapText="1"/>
    </xf>
    <xf numFmtId="49" fontId="22" fillId="5" borderId="0" xfId="0" applyNumberFormat="1" applyFont="1" applyFill="1" applyBorder="1" applyAlignment="1">
      <alignment vertical="center" wrapText="1"/>
    </xf>
    <xf numFmtId="49" fontId="23" fillId="6" borderId="0" xfId="0" applyNumberFormat="1" applyFont="1" applyFill="1" applyAlignment="1">
      <alignment wrapText="1"/>
    </xf>
    <xf numFmtId="4" fontId="4" fillId="10" borderId="0" xfId="0" applyNumberFormat="1" applyFont="1" applyFill="1" applyAlignment="1">
      <alignment horizontal="center" wrapText="1"/>
    </xf>
    <xf numFmtId="4" fontId="4" fillId="8" borderId="0" xfId="0" applyNumberFormat="1" applyFont="1" applyFill="1" applyAlignment="1">
      <alignment wrapText="1"/>
    </xf>
    <xf numFmtId="4" fontId="4" fillId="0" borderId="0" xfId="0" applyNumberFormat="1" applyFont="1" applyAlignment="1">
      <alignment horizontal="center" wrapText="1"/>
    </xf>
    <xf numFmtId="0" fontId="49" fillId="2" borderId="0" xfId="0" applyNumberFormat="1" applyFont="1" applyFill="1" applyBorder="1" applyAlignment="1">
      <alignment vertical="center" wrapText="1"/>
    </xf>
    <xf numFmtId="0" fontId="3" fillId="0" borderId="0" xfId="0" applyNumberFormat="1" applyFont="1" applyBorder="1" applyAlignment="1">
      <alignment horizontal="center" vertical="center" wrapText="1"/>
    </xf>
    <xf numFmtId="4" fontId="35" fillId="0" borderId="0" xfId="0" applyNumberFormat="1" applyFont="1" applyAlignment="1">
      <alignment wrapText="1"/>
    </xf>
    <xf numFmtId="49" fontId="30" fillId="0" borderId="0" xfId="0" applyNumberFormat="1" applyFont="1" applyAlignment="1">
      <alignment horizontal="center" wrapText="1"/>
    </xf>
    <xf numFmtId="4" fontId="49" fillId="2" borderId="0" xfId="0" applyNumberFormat="1" applyFont="1" applyFill="1" applyAlignment="1">
      <alignment wrapText="1"/>
    </xf>
    <xf numFmtId="4" fontId="37" fillId="0" borderId="0" xfId="0" applyNumberFormat="1" applyFont="1" applyAlignment="1">
      <alignment wrapText="1"/>
    </xf>
    <xf numFmtId="0" fontId="0" fillId="8" borderId="0" xfId="0" applyFill="1" applyAlignment="1">
      <alignment wrapText="1"/>
    </xf>
    <xf numFmtId="4" fontId="4" fillId="11" borderId="0" xfId="3" applyAlignment="1">
      <alignment horizontal="center" wrapText="1"/>
    </xf>
    <xf numFmtId="4" fontId="4" fillId="8" borderId="0" xfId="3" applyFill="1" applyAlignment="1">
      <alignment horizontal="center" wrapText="1"/>
    </xf>
    <xf numFmtId="49" fontId="22" fillId="5" borderId="0" xfId="0" applyNumberFormat="1" applyFont="1" applyFill="1" applyAlignment="1">
      <alignment horizontal="center" wrapText="1"/>
    </xf>
    <xf numFmtId="49" fontId="22" fillId="5" borderId="0" xfId="0" applyNumberFormat="1" applyFont="1" applyFill="1" applyBorder="1" applyAlignment="1">
      <alignment horizontal="center" vertical="center" wrapText="1"/>
    </xf>
    <xf numFmtId="0" fontId="22" fillId="5" borderId="0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40" fillId="0" borderId="0" xfId="0" applyFont="1" applyAlignment="1" applyProtection="1">
      <alignment horizontal="center" vertical="center"/>
      <protection locked="0"/>
    </xf>
    <xf numFmtId="0" fontId="41" fillId="0" borderId="0" xfId="0" applyFont="1" applyAlignment="1">
      <alignment horizontal="center" vertical="center"/>
    </xf>
  </cellXfs>
  <cellStyles count="5">
    <cellStyle name="Credit" xfId="4" xr:uid="{054EE730-2327-48CD-9996-F3D97EB91139}"/>
    <cellStyle name="Currency" xfId="1" builtinId="4"/>
    <cellStyle name="Debit" xfId="3" xr:uid="{F7F3ED04-BC97-43EC-8853-EFB5188262A6}"/>
    <cellStyle name="Normal" xfId="0" builtinId="0"/>
    <cellStyle name="Percent" xfId="2" builtinId="5"/>
  </cellStyles>
  <dxfs count="4">
    <dxf>
      <fill>
        <patternFill>
          <bgColor theme="5" tint="0.79998168889431442"/>
        </patternFill>
      </fill>
    </dxf>
    <dxf>
      <fill>
        <patternFill>
          <bgColor rgb="FFF0FFFF"/>
        </patternFill>
      </fill>
    </dxf>
    <dxf>
      <fill>
        <patternFill>
          <bgColor theme="9" tint="0.79998168889431442"/>
        </patternFill>
      </fill>
    </dxf>
    <dxf>
      <numFmt numFmtId="164" formatCode="#."/>
    </dxf>
  </dxfs>
  <tableStyles count="0" defaultTableStyle="TableStyleMedium2" defaultPivotStyle="PivotStyleLight16"/>
  <colors>
    <mruColors>
      <color rgb="FFF4B084"/>
      <color rgb="FFF0FFFF"/>
      <color rgb="FFBCE5A8"/>
      <color rgb="FF4CBB17"/>
      <color rgb="FFFA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  <wetp:taskpane dockstate="right" visibility="0" width="525" row="8">
    <wetp:webextensionref xmlns:r="http://schemas.openxmlformats.org/officeDocument/2006/relationships" r:id="rId2"/>
  </wetp:taskpane>
  <wetp:taskpane dockstate="right" visibility="0" width="525" row="7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4A56B8B2-D12C-4657-96AF-A9E2237FFB8E}">
  <we:reference id="wa103296784" version="1.1.0.0" store="en-US" storeType="OMEX"/>
  <we:alternateReferences>
    <we:reference id="wa103296784" version="1.1.0.0" store="wa103296784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512A1B3E-98F4-4BB9-A709-9CA99984981E}">
  <we:reference id="wa200001584" version="2.5.0.0" store="en-US" storeType="OMEX"/>
  <we:alternateReferences>
    <we:reference id="wa200001584" version="2.5.0.0" store="WA20000158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DCA6679C-BAB0-4F9B-A2DA-40CF7F100FA5}">
  <we:reference id="wa200004894" version="1.0.0.0" store="en-US" storeType="OMEX"/>
  <we:alternateReferences>
    <we:reference id="wa200004894" version="1.0.0.0" store="WA20000489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9FC94-4159-4AE2-A007-3174F71A37B4}">
  <dimension ref="B1:F53"/>
  <sheetViews>
    <sheetView topLeftCell="C21" zoomScale="150" zoomScaleNormal="150" workbookViewId="0">
      <selection activeCell="E50" sqref="E50"/>
    </sheetView>
  </sheetViews>
  <sheetFormatPr defaultColWidth="10.91015625" defaultRowHeight="16.5" customHeight="1" x14ac:dyDescent="0.1"/>
  <cols>
    <col min="1" max="1" width="7.953125" style="1" customWidth="1"/>
    <col min="2" max="2" width="3.140625" style="29" customWidth="1"/>
    <col min="3" max="3" width="12.20703125" style="1" customWidth="1"/>
    <col min="4" max="4" width="63.8125" style="1" customWidth="1"/>
    <col min="5" max="6" width="21.82421875" style="1" customWidth="1"/>
    <col min="7" max="16384" width="10.91015625" style="1"/>
  </cols>
  <sheetData>
    <row r="1" spans="2:6" s="2" customFormat="1" ht="16.5" customHeight="1" x14ac:dyDescent="0.1">
      <c r="B1" s="24"/>
    </row>
    <row r="2" spans="2:6" s="2" customFormat="1" ht="16.5" customHeight="1" x14ac:dyDescent="0.1">
      <c r="B2" s="25"/>
      <c r="C2" s="4"/>
      <c r="D2" s="96" t="s">
        <v>1</v>
      </c>
      <c r="E2" s="96"/>
      <c r="F2" s="96"/>
    </row>
    <row r="3" spans="2:6" ht="16.5" customHeight="1" x14ac:dyDescent="0.1">
      <c r="B3" s="25"/>
      <c r="C3" s="7" t="s">
        <v>2</v>
      </c>
      <c r="D3" s="7"/>
      <c r="E3" s="8">
        <v>2020</v>
      </c>
      <c r="F3" s="8">
        <v>2019</v>
      </c>
    </row>
    <row r="4" spans="2:6" ht="16.5" customHeight="1" x14ac:dyDescent="0.1">
      <c r="B4" s="25"/>
      <c r="C4" s="9" t="s">
        <v>46</v>
      </c>
      <c r="D4" s="10"/>
      <c r="E4" s="11"/>
      <c r="F4" s="11"/>
    </row>
    <row r="5" spans="2:6" ht="16.5" customHeight="1" x14ac:dyDescent="0.1">
      <c r="B5" s="26" t="s">
        <v>47</v>
      </c>
      <c r="C5" s="23" t="str">
        <f xml:space="preserve"> CONCATENATE(B5,".")</f>
        <v>a.</v>
      </c>
      <c r="D5" s="5" t="s">
        <v>4</v>
      </c>
      <c r="E5" s="12"/>
      <c r="F5" s="12"/>
    </row>
    <row r="6" spans="2:6" ht="16.5" customHeight="1" x14ac:dyDescent="0.1">
      <c r="B6" s="26" t="str">
        <f>CHAR(CODE(B5)+1)</f>
        <v>b</v>
      </c>
      <c r="C6" s="23" t="str">
        <f t="shared" ref="C6:C10" si="0" xml:space="preserve"> CONCATENATE(B6,".")</f>
        <v>b.</v>
      </c>
      <c r="D6" s="5" t="s">
        <v>45</v>
      </c>
      <c r="E6" s="12"/>
      <c r="F6" s="12"/>
    </row>
    <row r="7" spans="2:6" ht="16.5" customHeight="1" x14ac:dyDescent="0.1">
      <c r="B7" s="26" t="str">
        <f t="shared" ref="A7:C10" si="1">CHAR(CODE(B6)+1)</f>
        <v>c</v>
      </c>
      <c r="C7" s="23" t="str">
        <f t="shared" si="0"/>
        <v>c.</v>
      </c>
      <c r="D7" s="5" t="s">
        <v>4</v>
      </c>
      <c r="E7" s="12"/>
      <c r="F7" s="12"/>
    </row>
    <row r="8" spans="2:6" ht="16.5" customHeight="1" x14ac:dyDescent="0.1">
      <c r="B8" s="26" t="str">
        <f t="shared" si="1"/>
        <v>d</v>
      </c>
      <c r="C8" s="23" t="str">
        <f t="shared" si="0"/>
        <v>d.</v>
      </c>
      <c r="D8" s="5" t="s">
        <v>5</v>
      </c>
      <c r="E8" s="12"/>
      <c r="F8" s="12"/>
    </row>
    <row r="9" spans="2:6" ht="16.5" customHeight="1" x14ac:dyDescent="0.1">
      <c r="B9" s="26" t="str">
        <f t="shared" si="1"/>
        <v>e</v>
      </c>
      <c r="C9" s="23" t="str">
        <f t="shared" si="0"/>
        <v>e.</v>
      </c>
      <c r="D9" s="5" t="s">
        <v>6</v>
      </c>
      <c r="E9" s="12"/>
      <c r="F9" s="12"/>
    </row>
    <row r="10" spans="2:6" ht="16.5" customHeight="1" x14ac:dyDescent="0.1">
      <c r="B10" s="26" t="str">
        <f t="shared" si="1"/>
        <v>f</v>
      </c>
      <c r="C10" s="23" t="str">
        <f t="shared" si="0"/>
        <v>f.</v>
      </c>
      <c r="D10" s="5" t="s">
        <v>7</v>
      </c>
      <c r="E10" s="12"/>
      <c r="F10" s="12"/>
    </row>
    <row r="11" spans="2:6" ht="16.5" customHeight="1" x14ac:dyDescent="0.1">
      <c r="B11" s="25"/>
      <c r="C11" s="6"/>
      <c r="D11" s="13" t="s">
        <v>8</v>
      </c>
      <c r="E11" s="14">
        <f>SUM(E5:E10)</f>
        <v>0</v>
      </c>
      <c r="F11" s="14">
        <f>SUM(F5:F10)</f>
        <v>0</v>
      </c>
    </row>
    <row r="12" spans="2:6" ht="16.5" customHeight="1" x14ac:dyDescent="0.1">
      <c r="B12" s="25"/>
      <c r="C12" s="9" t="s">
        <v>9</v>
      </c>
      <c r="D12" s="10"/>
      <c r="E12" s="11"/>
      <c r="F12" s="11"/>
    </row>
    <row r="13" spans="2:6" ht="16.5" customHeight="1" x14ac:dyDescent="0.1">
      <c r="B13" s="25"/>
      <c r="C13" s="6"/>
      <c r="D13" s="5" t="s">
        <v>10</v>
      </c>
      <c r="E13" s="12">
        <v>1208</v>
      </c>
      <c r="F13" s="12"/>
    </row>
    <row r="14" spans="2:6" ht="16.5" customHeight="1" x14ac:dyDescent="0.1">
      <c r="B14" s="25"/>
      <c r="C14" s="6"/>
      <c r="D14" s="5" t="s">
        <v>11</v>
      </c>
      <c r="E14" s="12">
        <v>15340</v>
      </c>
      <c r="F14" s="12"/>
    </row>
    <row r="15" spans="2:6" ht="16.5" customHeight="1" x14ac:dyDescent="0.1">
      <c r="B15" s="25"/>
      <c r="C15" s="6"/>
      <c r="D15" s="5" t="s">
        <v>12</v>
      </c>
      <c r="E15" s="12">
        <v>-2200</v>
      </c>
      <c r="F15" s="12"/>
    </row>
    <row r="16" spans="2:6" ht="16.5" customHeight="1" x14ac:dyDescent="0.1">
      <c r="B16" s="25"/>
      <c r="C16" s="6"/>
      <c r="D16" s="5" t="s">
        <v>13</v>
      </c>
      <c r="E16" s="12"/>
      <c r="F16" s="12"/>
    </row>
    <row r="17" spans="2:6" ht="16.5" customHeight="1" x14ac:dyDescent="0.1">
      <c r="B17" s="25"/>
      <c r="C17" s="6"/>
      <c r="D17" s="13" t="s">
        <v>14</v>
      </c>
      <c r="E17" s="14">
        <f>SUM(E13:E16)</f>
        <v>14348</v>
      </c>
      <c r="F17" s="14">
        <f>SUM(F13:F16)</f>
        <v>0</v>
      </c>
    </row>
    <row r="18" spans="2:6" ht="16.5" customHeight="1" x14ac:dyDescent="0.1">
      <c r="B18" s="25"/>
      <c r="C18" s="9" t="s">
        <v>15</v>
      </c>
      <c r="D18" s="10"/>
      <c r="E18" s="11"/>
      <c r="F18" s="11"/>
    </row>
    <row r="19" spans="2:6" ht="16.5" customHeight="1" x14ac:dyDescent="0.1">
      <c r="B19" s="25"/>
      <c r="C19" s="6"/>
      <c r="D19" s="5" t="s">
        <v>16</v>
      </c>
      <c r="E19" s="12"/>
      <c r="F19" s="12"/>
    </row>
    <row r="20" spans="2:6" ht="16.5" customHeight="1" x14ac:dyDescent="0.1">
      <c r="B20" s="25"/>
      <c r="C20" s="6"/>
      <c r="D20" s="5" t="s">
        <v>17</v>
      </c>
      <c r="E20" s="12"/>
      <c r="F20" s="12"/>
    </row>
    <row r="21" spans="2:6" ht="16.5" customHeight="1" x14ac:dyDescent="0.1">
      <c r="B21" s="25"/>
      <c r="C21" s="6"/>
      <c r="D21" s="13" t="s">
        <v>18</v>
      </c>
      <c r="E21" s="14">
        <f>SUM(E19:E20)</f>
        <v>0</v>
      </c>
      <c r="F21" s="14">
        <f>SUM(F19:F20)</f>
        <v>0</v>
      </c>
    </row>
    <row r="22" spans="2:6" ht="16.5" customHeight="1" x14ac:dyDescent="0.1">
      <c r="B22" s="25"/>
      <c r="C22" s="6"/>
      <c r="D22" s="6"/>
      <c r="E22" s="5"/>
      <c r="F22" s="5"/>
    </row>
    <row r="23" spans="2:6" ht="16.5" customHeight="1" thickBot="1" x14ac:dyDescent="0.15">
      <c r="B23" s="25"/>
      <c r="C23" s="15" t="s">
        <v>19</v>
      </c>
      <c r="D23" s="15"/>
      <c r="E23" s="16">
        <f>E11+E17+E21</f>
        <v>14348</v>
      </c>
      <c r="F23" s="16">
        <f>F11+F17+F21</f>
        <v>0</v>
      </c>
    </row>
    <row r="24" spans="2:6" ht="16.5" customHeight="1" thickTop="1" x14ac:dyDescent="0.1">
      <c r="B24" s="25"/>
      <c r="C24" s="6"/>
      <c r="D24" s="6"/>
      <c r="E24" s="6"/>
      <c r="F24" s="6"/>
    </row>
    <row r="25" spans="2:6" ht="16.5" customHeight="1" x14ac:dyDescent="0.1">
      <c r="B25" s="27" t="s">
        <v>20</v>
      </c>
      <c r="C25" s="7" t="s">
        <v>21</v>
      </c>
      <c r="D25" s="7"/>
      <c r="E25" s="7"/>
      <c r="F25" s="7"/>
    </row>
    <row r="26" spans="2:6" ht="16.5" customHeight="1" x14ac:dyDescent="0.1">
      <c r="B26" s="25"/>
      <c r="C26" s="9" t="s">
        <v>22</v>
      </c>
      <c r="D26" s="10"/>
      <c r="E26" s="11"/>
      <c r="F26" s="11"/>
    </row>
    <row r="27" spans="2:6" ht="16.5" customHeight="1" x14ac:dyDescent="0.1">
      <c r="B27" s="25"/>
      <c r="C27" s="6"/>
      <c r="D27" s="5" t="s">
        <v>23</v>
      </c>
      <c r="E27" s="12">
        <v>8060</v>
      </c>
      <c r="F27" s="12"/>
    </row>
    <row r="28" spans="2:6" ht="16.5" customHeight="1" x14ac:dyDescent="0.1">
      <c r="B28" s="25"/>
      <c r="C28" s="6"/>
      <c r="D28" s="5" t="s">
        <v>24</v>
      </c>
      <c r="E28" s="12"/>
      <c r="F28" s="12"/>
    </row>
    <row r="29" spans="2:6" ht="16.5" customHeight="1" x14ac:dyDescent="0.1">
      <c r="B29" s="25"/>
      <c r="C29" s="6"/>
      <c r="D29" s="5" t="s">
        <v>25</v>
      </c>
      <c r="E29" s="12">
        <v>3145</v>
      </c>
      <c r="F29" s="12"/>
    </row>
    <row r="30" spans="2:6" ht="16.5" customHeight="1" x14ac:dyDescent="0.1">
      <c r="B30" s="25"/>
      <c r="C30" s="6"/>
      <c r="D30" s="5" t="s">
        <v>26</v>
      </c>
      <c r="E30" s="12"/>
      <c r="F30" s="12"/>
    </row>
    <row r="31" spans="2:6" ht="16.5" customHeight="1" x14ac:dyDescent="0.1">
      <c r="B31" s="25"/>
      <c r="C31" s="6"/>
      <c r="D31" s="5" t="s">
        <v>27</v>
      </c>
      <c r="E31" s="12"/>
      <c r="F31" s="12"/>
    </row>
    <row r="32" spans="2:6" ht="16.5" customHeight="1" x14ac:dyDescent="0.1">
      <c r="B32" s="25"/>
      <c r="C32" s="6"/>
      <c r="D32" s="5" t="s">
        <v>28</v>
      </c>
      <c r="E32" s="12"/>
      <c r="F32" s="12"/>
    </row>
    <row r="33" spans="2:6" ht="16.5" customHeight="1" x14ac:dyDescent="0.1">
      <c r="B33" s="25"/>
      <c r="C33" s="6"/>
      <c r="D33" s="13" t="s">
        <v>29</v>
      </c>
      <c r="E33" s="14">
        <f>SUM(E27:E32)</f>
        <v>11205</v>
      </c>
      <c r="F33" s="14">
        <f>SUM(F27:F32)</f>
        <v>0</v>
      </c>
    </row>
    <row r="34" spans="2:6" ht="16.5" customHeight="1" x14ac:dyDescent="0.1">
      <c r="B34" s="25"/>
      <c r="C34" s="9" t="s">
        <v>30</v>
      </c>
      <c r="D34" s="10"/>
      <c r="E34" s="11"/>
      <c r="F34" s="11"/>
    </row>
    <row r="35" spans="2:6" ht="16.5" customHeight="1" x14ac:dyDescent="0.1">
      <c r="B35" s="25"/>
      <c r="C35" s="6"/>
      <c r="D35" s="5" t="s">
        <v>31</v>
      </c>
      <c r="E35" s="12">
        <v>3450</v>
      </c>
      <c r="F35" s="12"/>
    </row>
    <row r="36" spans="2:6" ht="16.5" customHeight="1" x14ac:dyDescent="0.1">
      <c r="B36" s="25"/>
      <c r="C36" s="6"/>
      <c r="D36" s="5" t="s">
        <v>16</v>
      </c>
      <c r="E36" s="12"/>
      <c r="F36" s="12"/>
    </row>
    <row r="37" spans="2:6" ht="16.5" customHeight="1" x14ac:dyDescent="0.1">
      <c r="B37" s="25"/>
      <c r="C37" s="6"/>
      <c r="D37" s="5" t="s">
        <v>17</v>
      </c>
      <c r="E37" s="12"/>
      <c r="F37" s="12"/>
    </row>
    <row r="38" spans="2:6" ht="16.5" customHeight="1" x14ac:dyDescent="0.1">
      <c r="B38" s="25"/>
      <c r="C38" s="6"/>
      <c r="D38" s="13" t="s">
        <v>32</v>
      </c>
      <c r="E38" s="14">
        <f>SUM(E35:E37)</f>
        <v>3450</v>
      </c>
      <c r="F38" s="14">
        <f>SUM(F35:F37)</f>
        <v>0</v>
      </c>
    </row>
    <row r="39" spans="2:6" ht="16.5" customHeight="1" x14ac:dyDescent="0.1">
      <c r="B39" s="25"/>
      <c r="C39" s="9" t="s">
        <v>33</v>
      </c>
      <c r="D39" s="10"/>
      <c r="E39" s="11"/>
      <c r="F39" s="11"/>
    </row>
    <row r="40" spans="2:6" ht="16.5" customHeight="1" x14ac:dyDescent="0.1">
      <c r="B40" s="25"/>
      <c r="C40" s="6"/>
      <c r="D40" s="5" t="s">
        <v>34</v>
      </c>
      <c r="E40" s="12">
        <v>7178</v>
      </c>
      <c r="F40" s="12"/>
    </row>
    <row r="41" spans="2:6" ht="16.5" customHeight="1" x14ac:dyDescent="0.1">
      <c r="B41" s="25"/>
      <c r="C41" s="6"/>
      <c r="D41" s="5" t="s">
        <v>35</v>
      </c>
      <c r="E41" s="12">
        <v>4389</v>
      </c>
      <c r="F41" s="12"/>
    </row>
    <row r="42" spans="2:6" ht="16.5" customHeight="1" x14ac:dyDescent="0.1">
      <c r="B42" s="25"/>
      <c r="C42" s="6"/>
      <c r="D42" s="5" t="s">
        <v>17</v>
      </c>
      <c r="E42" s="12"/>
      <c r="F42" s="12"/>
    </row>
    <row r="43" spans="2:6" ht="16.5" customHeight="1" x14ac:dyDescent="0.1">
      <c r="B43" s="25"/>
      <c r="C43" s="6"/>
      <c r="D43" s="13" t="s">
        <v>36</v>
      </c>
      <c r="E43" s="14">
        <f>SUM(E40:E42)</f>
        <v>11567</v>
      </c>
      <c r="F43" s="14">
        <f>SUM(F40:F42)</f>
        <v>0</v>
      </c>
    </row>
    <row r="44" spans="2:6" ht="16.5" customHeight="1" x14ac:dyDescent="0.1">
      <c r="B44" s="25"/>
      <c r="C44" s="6"/>
      <c r="D44" s="6"/>
      <c r="E44" s="6"/>
      <c r="F44" s="6"/>
    </row>
    <row r="45" spans="2:6" ht="16.5" customHeight="1" thickBot="1" x14ac:dyDescent="0.15">
      <c r="B45" s="25"/>
      <c r="C45" s="15" t="s">
        <v>37</v>
      </c>
      <c r="D45" s="15"/>
      <c r="E45" s="16">
        <f>E33+E38+E43</f>
        <v>26222</v>
      </c>
      <c r="F45" s="16">
        <f>F33+F38+F43</f>
        <v>0</v>
      </c>
    </row>
    <row r="46" spans="2:6" ht="16.5" customHeight="1" thickTop="1" x14ac:dyDescent="0.1">
      <c r="B46" s="25"/>
      <c r="C46" s="6"/>
      <c r="D46" s="6"/>
      <c r="E46" s="6"/>
      <c r="F46" s="17" t="s">
        <v>38</v>
      </c>
    </row>
    <row r="47" spans="2:6" ht="16.5" customHeight="1" x14ac:dyDescent="0.1">
      <c r="B47" s="25"/>
      <c r="C47" s="7" t="s">
        <v>39</v>
      </c>
      <c r="D47" s="7"/>
      <c r="E47" s="7"/>
      <c r="F47" s="7"/>
    </row>
    <row r="48" spans="2:6" ht="16.5" customHeight="1" x14ac:dyDescent="0.1">
      <c r="B48" s="25"/>
      <c r="C48" s="18" t="s">
        <v>40</v>
      </c>
      <c r="D48" s="18"/>
      <c r="E48" s="19">
        <f>IF(E23=0,"",(E33+E38)/E23)</f>
        <v>1.0213967103429049</v>
      </c>
      <c r="F48" s="19" t="str">
        <f>IF(F23=0,"",(F33+F38)/F23)</f>
        <v/>
      </c>
    </row>
    <row r="49" spans="2:6" ht="16.5" customHeight="1" x14ac:dyDescent="0.1">
      <c r="B49" s="25"/>
      <c r="C49" s="18" t="s">
        <v>41</v>
      </c>
      <c r="D49" s="18"/>
      <c r="E49" s="19">
        <f>IF(E33=0,"",E11/E33)</f>
        <v>0</v>
      </c>
      <c r="F49" s="19" t="str">
        <f>IF(F33=0,"",F11/F33)</f>
        <v/>
      </c>
    </row>
    <row r="50" spans="2:6" ht="16.5" customHeight="1" x14ac:dyDescent="0.1">
      <c r="B50" s="25"/>
      <c r="C50" s="18" t="s">
        <v>42</v>
      </c>
      <c r="D50" s="18"/>
      <c r="E50" s="20">
        <f>E11-E33</f>
        <v>-11205</v>
      </c>
      <c r="F50" s="20">
        <f>F11-F33</f>
        <v>0</v>
      </c>
    </row>
    <row r="51" spans="2:6" ht="16.5" customHeight="1" x14ac:dyDescent="0.1">
      <c r="B51" s="25"/>
      <c r="C51" s="18" t="s">
        <v>43</v>
      </c>
      <c r="D51" s="18"/>
      <c r="E51" s="19">
        <f>IF(E43=0,"",E23/E43)</f>
        <v>1.240425347972681</v>
      </c>
      <c r="F51" s="19" t="str">
        <f>IF(F43=0,"",F23/F43)</f>
        <v/>
      </c>
    </row>
    <row r="52" spans="2:6" ht="16.5" customHeight="1" x14ac:dyDescent="0.1">
      <c r="B52" s="25"/>
      <c r="C52" s="18" t="s">
        <v>44</v>
      </c>
      <c r="D52" s="18"/>
      <c r="E52" s="19">
        <f>IF(E43=0,"",(E33+E38)/E43)</f>
        <v>1.2669663698452494</v>
      </c>
      <c r="F52" s="19" t="str">
        <f>IF(F43=0,"",(F33+F38)/F43)</f>
        <v/>
      </c>
    </row>
    <row r="53" spans="2:6" ht="16.5" customHeight="1" x14ac:dyDescent="0.15">
      <c r="B53" s="28"/>
      <c r="C53" s="21"/>
      <c r="D53" s="21"/>
      <c r="E53" s="21"/>
      <c r="F53" s="21"/>
    </row>
  </sheetData>
  <mergeCells count="1">
    <mergeCell ref="D2:F2"/>
  </mergeCells>
  <conditionalFormatting sqref="B5:C10">
    <cfRule type="uniqueValues" dxfId="3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A32A9-715F-467F-ADCF-3BBEA1B9CBBB}">
  <dimension ref="B1:K39"/>
  <sheetViews>
    <sheetView tabSelected="1" topLeftCell="B1" zoomScale="150" zoomScaleNormal="150" workbookViewId="0">
      <selection activeCell="J44" sqref="J44"/>
    </sheetView>
  </sheetViews>
  <sheetFormatPr defaultColWidth="10.91015625" defaultRowHeight="16.5" customHeight="1" x14ac:dyDescent="0.1"/>
  <cols>
    <col min="1" max="1" width="3.51171875" style="1" customWidth="1"/>
    <col min="2" max="2" width="8.69140625" style="1" customWidth="1"/>
    <col min="3" max="4" width="7.953125" style="1" customWidth="1"/>
    <col min="5" max="5" width="2.7734375" style="1" customWidth="1"/>
    <col min="6" max="6" width="24.78515625" style="33" customWidth="1"/>
    <col min="7" max="7" width="13.31640625" style="1" customWidth="1"/>
    <col min="8" max="8" width="12.76171875" style="1" customWidth="1"/>
    <col min="9" max="9" width="26.078125" style="1" customWidth="1"/>
    <col min="10" max="10" width="28.66796875" style="1" customWidth="1"/>
    <col min="11" max="11" width="10.91015625" style="31"/>
    <col min="12" max="16384" width="10.91015625" style="1"/>
  </cols>
  <sheetData>
    <row r="1" spans="2:11" s="2" customFormat="1" ht="16.5" customHeight="1" x14ac:dyDescent="0.1">
      <c r="F1" s="35"/>
      <c r="K1" s="30"/>
    </row>
    <row r="2" spans="2:11" s="2" customFormat="1" ht="21" customHeight="1" x14ac:dyDescent="0.1">
      <c r="F2" s="30" t="s">
        <v>48</v>
      </c>
      <c r="G2" s="2" t="s">
        <v>129</v>
      </c>
      <c r="H2" s="2" t="s">
        <v>130</v>
      </c>
      <c r="I2" s="2" t="s">
        <v>49</v>
      </c>
      <c r="J2" s="2" t="s">
        <v>50</v>
      </c>
      <c r="K2" s="30"/>
    </row>
    <row r="3" spans="2:11" s="2" customFormat="1" ht="16.5" customHeight="1" x14ac:dyDescent="0.1">
      <c r="F3" s="99" t="s">
        <v>88</v>
      </c>
      <c r="G3" s="99"/>
      <c r="H3" s="99"/>
      <c r="I3" s="99"/>
      <c r="J3" s="99"/>
      <c r="K3" s="30"/>
    </row>
    <row r="4" spans="2:11" ht="16.5" customHeight="1" x14ac:dyDescent="0.1">
      <c r="B4" s="44"/>
      <c r="C4" s="44" t="s">
        <v>128</v>
      </c>
      <c r="D4" s="44" t="s">
        <v>136</v>
      </c>
      <c r="F4" s="100" t="s">
        <v>3</v>
      </c>
      <c r="G4" s="100"/>
      <c r="H4" s="100"/>
      <c r="I4" s="100"/>
      <c r="J4" s="100"/>
    </row>
    <row r="5" spans="2:11" ht="16.5" customHeight="1" x14ac:dyDescent="0.1">
      <c r="B5" s="44" t="s">
        <v>2</v>
      </c>
      <c r="C5" s="45" t="s">
        <v>75</v>
      </c>
      <c r="D5" s="46" t="s">
        <v>52</v>
      </c>
      <c r="F5" s="41" t="s">
        <v>89</v>
      </c>
      <c r="G5" s="47"/>
      <c r="I5" s="1" t="s">
        <v>90</v>
      </c>
      <c r="J5" s="1" t="s">
        <v>91</v>
      </c>
    </row>
    <row r="6" spans="2:11" ht="16.5" customHeight="1" x14ac:dyDescent="0.1">
      <c r="B6" s="44" t="s">
        <v>137</v>
      </c>
      <c r="C6" s="46" t="s">
        <v>52</v>
      </c>
      <c r="D6" s="45" t="s">
        <v>75</v>
      </c>
      <c r="F6" s="41" t="s">
        <v>92</v>
      </c>
      <c r="G6" s="47"/>
      <c r="I6" s="1" t="s">
        <v>93</v>
      </c>
      <c r="J6" s="1" t="s">
        <v>94</v>
      </c>
    </row>
    <row r="7" spans="2:11" ht="16.5" customHeight="1" x14ac:dyDescent="0.1">
      <c r="B7" s="44" t="s">
        <v>138</v>
      </c>
      <c r="C7" s="46" t="s">
        <v>52</v>
      </c>
      <c r="D7" s="45" t="s">
        <v>75</v>
      </c>
      <c r="F7" s="41" t="s">
        <v>95</v>
      </c>
      <c r="G7" s="47"/>
      <c r="I7" s="1" t="s">
        <v>96</v>
      </c>
      <c r="J7" s="1" t="s">
        <v>97</v>
      </c>
    </row>
    <row r="8" spans="2:11" ht="16.5" customHeight="1" x14ac:dyDescent="0.1">
      <c r="F8" s="42" t="s">
        <v>127</v>
      </c>
      <c r="H8" s="95"/>
      <c r="I8" s="1" t="s">
        <v>98</v>
      </c>
      <c r="J8" s="1" t="s">
        <v>99</v>
      </c>
    </row>
    <row r="9" spans="2:11" ht="16.5" customHeight="1" x14ac:dyDescent="0.1">
      <c r="F9" s="41" t="s">
        <v>100</v>
      </c>
      <c r="G9" s="47"/>
      <c r="I9" s="1" t="s">
        <v>101</v>
      </c>
      <c r="J9" s="1" t="s">
        <v>102</v>
      </c>
    </row>
    <row r="10" spans="2:11" ht="16.5" customHeight="1" x14ac:dyDescent="0.1">
      <c r="F10" s="41" t="s">
        <v>103</v>
      </c>
      <c r="G10" s="47"/>
      <c r="I10" s="1" t="s">
        <v>104</v>
      </c>
      <c r="J10" s="1" t="s">
        <v>105</v>
      </c>
    </row>
    <row r="11" spans="2:11" ht="16.5" customHeight="1" x14ac:dyDescent="0.1">
      <c r="F11" s="39" t="s">
        <v>131</v>
      </c>
      <c r="G11" s="98">
        <f>SUM(G5:G10)+H8</f>
        <v>0</v>
      </c>
      <c r="H11" s="98"/>
    </row>
    <row r="12" spans="2:11" ht="16.5" customHeight="1" x14ac:dyDescent="0.15">
      <c r="F12" s="101" t="s">
        <v>106</v>
      </c>
      <c r="G12" s="101"/>
      <c r="H12" s="101"/>
      <c r="I12" s="101"/>
      <c r="J12" s="101"/>
    </row>
    <row r="13" spans="2:11" ht="16.5" customHeight="1" x14ac:dyDescent="0.1">
      <c r="F13" s="41" t="s">
        <v>107</v>
      </c>
      <c r="G13" s="47"/>
      <c r="I13" s="1" t="s">
        <v>108</v>
      </c>
      <c r="J13" s="1" t="s">
        <v>109</v>
      </c>
    </row>
    <row r="14" spans="2:11" ht="16.5" customHeight="1" x14ac:dyDescent="0.1">
      <c r="F14" s="41" t="s">
        <v>110</v>
      </c>
      <c r="G14" s="47"/>
      <c r="I14" s="1" t="s">
        <v>111</v>
      </c>
      <c r="J14" s="1" t="s">
        <v>112</v>
      </c>
    </row>
    <row r="15" spans="2:11" ht="16.5" customHeight="1" x14ac:dyDescent="0.1">
      <c r="F15" s="42" t="s">
        <v>126</v>
      </c>
      <c r="G15" s="38"/>
      <c r="H15" s="95"/>
      <c r="I15" s="1" t="s">
        <v>113</v>
      </c>
      <c r="J15" s="1" t="s">
        <v>114</v>
      </c>
    </row>
    <row r="16" spans="2:11" ht="16.5" customHeight="1" x14ac:dyDescent="0.1">
      <c r="F16" s="41" t="s">
        <v>115</v>
      </c>
      <c r="G16" s="47"/>
      <c r="I16" s="1" t="s">
        <v>116</v>
      </c>
      <c r="J16" s="1" t="s">
        <v>117</v>
      </c>
    </row>
    <row r="17" spans="6:10" ht="16.5" customHeight="1" x14ac:dyDescent="0.1">
      <c r="F17" s="42" t="s">
        <v>125</v>
      </c>
      <c r="G17" s="38"/>
      <c r="H17" s="95"/>
      <c r="I17" s="1" t="s">
        <v>118</v>
      </c>
      <c r="J17" s="1" t="s">
        <v>119</v>
      </c>
    </row>
    <row r="18" spans="6:10" s="31" customFormat="1" ht="16.5" customHeight="1" x14ac:dyDescent="0.1">
      <c r="F18" s="41" t="s">
        <v>120</v>
      </c>
      <c r="G18" s="47"/>
      <c r="H18" s="1"/>
      <c r="I18" s="1" t="s">
        <v>121</v>
      </c>
      <c r="J18" s="1" t="s">
        <v>122</v>
      </c>
    </row>
    <row r="19" spans="6:10" s="31" customFormat="1" ht="16.5" customHeight="1" x14ac:dyDescent="0.1">
      <c r="F19" s="39" t="s">
        <v>132</v>
      </c>
      <c r="G19" s="98">
        <f>SUM(G13:G18)+H15+H17</f>
        <v>0</v>
      </c>
      <c r="H19" s="98"/>
      <c r="I19" s="1"/>
      <c r="J19" s="1"/>
    </row>
    <row r="21" spans="6:10" s="31" customFormat="1" ht="16.5" customHeight="1" x14ac:dyDescent="0.1">
      <c r="F21" s="102" t="s">
        <v>51</v>
      </c>
      <c r="G21" s="102"/>
      <c r="H21" s="102"/>
      <c r="I21" s="102"/>
      <c r="J21" s="102"/>
    </row>
    <row r="22" spans="6:10" s="31" customFormat="1" ht="16.5" customHeight="1" x14ac:dyDescent="0.15">
      <c r="F22" s="103" t="s">
        <v>22</v>
      </c>
      <c r="G22" s="103"/>
      <c r="H22" s="103"/>
      <c r="I22" s="103"/>
      <c r="J22" s="103"/>
    </row>
    <row r="23" spans="6:10" s="31" customFormat="1" ht="16.5" customHeight="1" x14ac:dyDescent="0.1">
      <c r="F23" s="43" t="s">
        <v>80</v>
      </c>
      <c r="G23" s="47"/>
      <c r="H23" s="1"/>
      <c r="I23" s="1" t="s">
        <v>53</v>
      </c>
      <c r="J23" s="1" t="s">
        <v>54</v>
      </c>
    </row>
    <row r="24" spans="6:10" s="31" customFormat="1" ht="16.5" customHeight="1" x14ac:dyDescent="0.1">
      <c r="F24" s="43" t="s">
        <v>79</v>
      </c>
      <c r="G24" s="47"/>
      <c r="H24" s="1"/>
      <c r="I24" s="1" t="s">
        <v>55</v>
      </c>
      <c r="J24" s="1" t="s">
        <v>56</v>
      </c>
    </row>
    <row r="25" spans="6:10" s="31" customFormat="1" ht="16.5" customHeight="1" x14ac:dyDescent="0.1">
      <c r="F25" s="43" t="s">
        <v>78</v>
      </c>
      <c r="G25" s="47"/>
      <c r="H25" s="1"/>
      <c r="I25" s="1" t="s">
        <v>57</v>
      </c>
      <c r="J25" s="1" t="s">
        <v>58</v>
      </c>
    </row>
    <row r="26" spans="6:10" s="31" customFormat="1" ht="16.5" customHeight="1" x14ac:dyDescent="0.1">
      <c r="F26" s="43" t="s">
        <v>123</v>
      </c>
      <c r="G26" s="47"/>
      <c r="H26" s="1"/>
      <c r="I26" s="1" t="s">
        <v>57</v>
      </c>
      <c r="J26" s="1" t="s">
        <v>59</v>
      </c>
    </row>
    <row r="27" spans="6:10" s="31" customFormat="1" ht="16.5" customHeight="1" x14ac:dyDescent="0.1">
      <c r="F27" s="40" t="s">
        <v>133</v>
      </c>
      <c r="G27" s="98">
        <f>SUM(G23:G26)</f>
        <v>0</v>
      </c>
      <c r="H27" s="98"/>
      <c r="I27" s="1"/>
      <c r="J27" s="1"/>
    </row>
    <row r="28" spans="6:10" s="31" customFormat="1" ht="16.5" customHeight="1" x14ac:dyDescent="0.15">
      <c r="F28" s="103" t="s">
        <v>60</v>
      </c>
      <c r="G28" s="103"/>
      <c r="H28" s="103"/>
      <c r="I28" s="103"/>
      <c r="J28" s="103"/>
    </row>
    <row r="29" spans="6:10" s="31" customFormat="1" ht="16.5" customHeight="1" x14ac:dyDescent="0.1">
      <c r="F29" s="43" t="s">
        <v>81</v>
      </c>
      <c r="G29" s="47"/>
      <c r="H29" s="1"/>
      <c r="I29" s="1" t="s">
        <v>57</v>
      </c>
      <c r="J29" s="1" t="s">
        <v>61</v>
      </c>
    </row>
    <row r="30" spans="6:10" s="31" customFormat="1" ht="16.5" customHeight="1" x14ac:dyDescent="0.1">
      <c r="F30" s="43" t="s">
        <v>82</v>
      </c>
      <c r="G30" s="47"/>
      <c r="H30" s="1"/>
      <c r="I30" s="1" t="s">
        <v>62</v>
      </c>
      <c r="J30" s="1" t="s">
        <v>63</v>
      </c>
    </row>
    <row r="31" spans="6:10" s="31" customFormat="1" ht="16.5" customHeight="1" x14ac:dyDescent="0.1">
      <c r="F31" s="43" t="s">
        <v>124</v>
      </c>
      <c r="G31" s="47"/>
      <c r="H31" s="1"/>
      <c r="I31" s="1" t="s">
        <v>64</v>
      </c>
      <c r="J31" s="1" t="s">
        <v>65</v>
      </c>
    </row>
    <row r="32" spans="6:10" s="31" customFormat="1" ht="16.5" customHeight="1" x14ac:dyDescent="0.1">
      <c r="F32" s="40" t="s">
        <v>134</v>
      </c>
      <c r="G32" s="98">
        <f>SUM(G29:G31)</f>
        <v>0</v>
      </c>
      <c r="H32" s="98"/>
      <c r="I32" s="1"/>
      <c r="J32" s="1"/>
    </row>
    <row r="33" spans="6:10" s="31" customFormat="1" ht="16.5" customHeight="1" x14ac:dyDescent="0.15">
      <c r="F33" s="97" t="s">
        <v>66</v>
      </c>
      <c r="G33" s="97"/>
      <c r="H33" s="97"/>
      <c r="I33" s="97"/>
      <c r="J33" s="97"/>
    </row>
    <row r="34" spans="6:10" s="31" customFormat="1" ht="16.5" customHeight="1" x14ac:dyDescent="0.1">
      <c r="F34" s="43" t="s">
        <v>83</v>
      </c>
      <c r="G34" s="47"/>
      <c r="H34" s="1"/>
      <c r="I34" s="1" t="s">
        <v>67</v>
      </c>
      <c r="J34" s="1" t="s">
        <v>68</v>
      </c>
    </row>
    <row r="35" spans="6:10" s="31" customFormat="1" ht="16.5" customHeight="1" x14ac:dyDescent="0.1">
      <c r="F35" s="43" t="s">
        <v>84</v>
      </c>
      <c r="G35" s="47"/>
      <c r="H35" s="1"/>
      <c r="I35" s="1" t="s">
        <v>69</v>
      </c>
      <c r="J35" s="1" t="s">
        <v>70</v>
      </c>
    </row>
    <row r="36" spans="6:10" s="31" customFormat="1" ht="16.5" customHeight="1" x14ac:dyDescent="0.1">
      <c r="F36" s="43" t="s">
        <v>85</v>
      </c>
      <c r="G36" s="47"/>
      <c r="H36" s="1"/>
      <c r="I36" s="1" t="s">
        <v>71</v>
      </c>
      <c r="J36" s="1" t="s">
        <v>72</v>
      </c>
    </row>
    <row r="37" spans="6:10" s="31" customFormat="1" ht="16.5" customHeight="1" x14ac:dyDescent="0.1">
      <c r="F37" s="43" t="s">
        <v>86</v>
      </c>
      <c r="G37" s="47"/>
      <c r="H37" s="1"/>
      <c r="I37" s="1" t="s">
        <v>73</v>
      </c>
      <c r="J37" s="1" t="s">
        <v>74</v>
      </c>
    </row>
    <row r="38" spans="6:10" s="31" customFormat="1" ht="16.5" customHeight="1" x14ac:dyDescent="0.1">
      <c r="F38" s="42" t="s">
        <v>87</v>
      </c>
      <c r="G38" s="38"/>
      <c r="H38" s="95"/>
      <c r="I38" s="1" t="s">
        <v>76</v>
      </c>
      <c r="J38" s="1" t="s">
        <v>77</v>
      </c>
    </row>
    <row r="39" spans="6:10" ht="16.5" customHeight="1" x14ac:dyDescent="0.1">
      <c r="F39" s="39" t="s">
        <v>135</v>
      </c>
      <c r="G39" s="98">
        <f>SUM(G34:G38) +H38</f>
        <v>0</v>
      </c>
      <c r="H39" s="98"/>
    </row>
  </sheetData>
  <mergeCells count="12">
    <mergeCell ref="F3:J3"/>
    <mergeCell ref="F4:J4"/>
    <mergeCell ref="F12:J12"/>
    <mergeCell ref="F21:J21"/>
    <mergeCell ref="F22:J22"/>
    <mergeCell ref="F33:J33"/>
    <mergeCell ref="G39:H39"/>
    <mergeCell ref="G32:H32"/>
    <mergeCell ref="G27:H27"/>
    <mergeCell ref="G11:H11"/>
    <mergeCell ref="G19:H19"/>
    <mergeCell ref="F28:J2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B1DD-F0AA-4456-9DB5-2EC7BAD33071}">
  <dimension ref="C1:L32"/>
  <sheetViews>
    <sheetView zoomScale="145" zoomScaleNormal="145" workbookViewId="0">
      <selection activeCell="D2" sqref="D2:E2"/>
    </sheetView>
  </sheetViews>
  <sheetFormatPr defaultColWidth="10.91015625" defaultRowHeight="16.5" customHeight="1" x14ac:dyDescent="0.1"/>
  <cols>
    <col min="1" max="1" width="7.953125" style="1" customWidth="1"/>
    <col min="2" max="3" width="6.47265625" style="1" customWidth="1"/>
    <col min="4" max="4" width="4.4375" style="1" customWidth="1"/>
    <col min="5" max="5" width="21.26953125" style="1" customWidth="1"/>
    <col min="6" max="6" width="12.57421875" style="1" customWidth="1"/>
    <col min="7" max="7" width="10.91015625" style="1"/>
    <col min="8" max="8" width="19.05078125" style="1" customWidth="1"/>
    <col min="9" max="9" width="21.453125" style="1" customWidth="1"/>
    <col min="10" max="10" width="5.546875" style="1" customWidth="1"/>
    <col min="11" max="11" width="22.1953125" style="1" customWidth="1"/>
    <col min="12" max="16384" width="10.91015625" style="1"/>
  </cols>
  <sheetData>
    <row r="1" spans="4:12" s="2" customFormat="1" ht="16.5" customHeight="1" x14ac:dyDescent="0.1"/>
    <row r="2" spans="4:12" s="2" customFormat="1" ht="16.5" customHeight="1" x14ac:dyDescent="0.1">
      <c r="D2" s="108" t="s">
        <v>139</v>
      </c>
      <c r="E2" s="108"/>
      <c r="F2" s="2" t="s">
        <v>129</v>
      </c>
      <c r="G2" s="2" t="s">
        <v>130</v>
      </c>
      <c r="H2" s="2" t="s">
        <v>49</v>
      </c>
      <c r="I2" s="2" t="s">
        <v>50</v>
      </c>
    </row>
    <row r="3" spans="4:12" s="2" customFormat="1" ht="16.5" customHeight="1" x14ac:dyDescent="0.1">
      <c r="D3" s="107" t="s">
        <v>140</v>
      </c>
      <c r="E3" s="107"/>
      <c r="F3" s="107"/>
      <c r="G3" s="107"/>
      <c r="H3" s="107"/>
      <c r="I3" s="107"/>
      <c r="J3" s="67"/>
    </row>
    <row r="4" spans="4:12" ht="16.5" customHeight="1" x14ac:dyDescent="0.15">
      <c r="D4" s="110" t="s">
        <v>141</v>
      </c>
      <c r="E4" s="110"/>
      <c r="F4" s="62"/>
      <c r="G4"/>
      <c r="H4" s="1" t="s">
        <v>142</v>
      </c>
      <c r="I4" s="1" t="s">
        <v>143</v>
      </c>
    </row>
    <row r="5" spans="4:12" ht="16.5" customHeight="1" x14ac:dyDescent="0.1">
      <c r="E5" s="32" t="s">
        <v>144</v>
      </c>
      <c r="F5"/>
      <c r="G5" s="64"/>
      <c r="H5" s="1" t="s">
        <v>145</v>
      </c>
      <c r="I5" s="1" t="s">
        <v>146</v>
      </c>
    </row>
    <row r="6" spans="4:12" ht="13.5" customHeight="1" x14ac:dyDescent="0.1">
      <c r="E6" s="32" t="s">
        <v>147</v>
      </c>
      <c r="F6"/>
      <c r="G6" s="64"/>
      <c r="H6" s="1" t="s">
        <v>148</v>
      </c>
      <c r="I6" s="1" t="s">
        <v>149</v>
      </c>
    </row>
    <row r="7" spans="4:12" ht="13.5" customHeight="1" x14ac:dyDescent="0.1">
      <c r="E7" s="39" t="s">
        <v>198</v>
      </c>
      <c r="F7" s="98">
        <f xml:space="preserve">   SUM(F4:F6)
  +SUM(G4:G6)</f>
        <v>0</v>
      </c>
      <c r="G7" s="98"/>
    </row>
    <row r="8" spans="4:12" ht="13.5" customHeight="1" x14ac:dyDescent="0.1">
      <c r="E8" s="32"/>
    </row>
    <row r="9" spans="4:12" ht="15.95" customHeight="1" x14ac:dyDescent="0.15">
      <c r="D9" s="111" t="s">
        <v>150</v>
      </c>
      <c r="E9" s="111"/>
      <c r="F9" s="111"/>
      <c r="G9" s="111"/>
      <c r="H9" s="111"/>
      <c r="I9" s="111"/>
      <c r="J9" s="68"/>
    </row>
    <row r="10" spans="4:12" ht="16.5" customHeight="1" x14ac:dyDescent="0.1">
      <c r="E10" s="32" t="s">
        <v>151</v>
      </c>
      <c r="G10" s="65"/>
      <c r="H10" s="1" t="s">
        <v>152</v>
      </c>
      <c r="I10" s="1" t="s">
        <v>153</v>
      </c>
    </row>
    <row r="11" spans="4:12" ht="16.5" customHeight="1" x14ac:dyDescent="0.1">
      <c r="D11" s="109" t="s">
        <v>154</v>
      </c>
      <c r="E11" s="109"/>
      <c r="F11" s="109"/>
      <c r="G11" s="109"/>
      <c r="H11" s="109"/>
      <c r="I11" s="109"/>
      <c r="J11" s="60"/>
    </row>
    <row r="12" spans="4:12" ht="16.5" customHeight="1" x14ac:dyDescent="0.1">
      <c r="E12" s="32" t="s">
        <v>155</v>
      </c>
      <c r="F12" s="104">
        <f>F7-G10</f>
        <v>0</v>
      </c>
      <c r="G12" s="104"/>
      <c r="H12" s="1" t="s">
        <v>156</v>
      </c>
      <c r="I12" s="1" t="s">
        <v>157</v>
      </c>
    </row>
    <row r="14" spans="4:12" ht="16.5" customHeight="1" x14ac:dyDescent="0.15">
      <c r="D14" s="111" t="s">
        <v>158</v>
      </c>
      <c r="E14" s="111"/>
      <c r="F14" s="111"/>
      <c r="G14" s="111"/>
      <c r="H14" s="111"/>
      <c r="I14" s="111"/>
      <c r="J14" s="68"/>
      <c r="K14" s="71" t="s">
        <v>158</v>
      </c>
    </row>
    <row r="15" spans="4:12" ht="16.5" customHeight="1" x14ac:dyDescent="0.1">
      <c r="E15" s="32" t="s">
        <v>159</v>
      </c>
      <c r="G15" s="65"/>
      <c r="H15" s="1" t="s">
        <v>160</v>
      </c>
      <c r="I15" s="1" t="s">
        <v>161</v>
      </c>
      <c r="K15" s="66" t="s">
        <v>208</v>
      </c>
      <c r="L15" s="106"/>
    </row>
    <row r="16" spans="4:12" ht="16.5" customHeight="1" x14ac:dyDescent="0.1">
      <c r="E16" s="32" t="s">
        <v>162</v>
      </c>
      <c r="G16" s="65"/>
      <c r="H16" s="1" t="s">
        <v>163</v>
      </c>
      <c r="I16" s="1" t="s">
        <v>164</v>
      </c>
      <c r="K16" s="66" t="s">
        <v>209</v>
      </c>
      <c r="L16" s="106"/>
    </row>
    <row r="17" spans="3:12" ht="16.5" customHeight="1" x14ac:dyDescent="0.1">
      <c r="E17" s="39" t="s">
        <v>225</v>
      </c>
      <c r="F17" s="98">
        <f xml:space="preserve">   SUM(F15:F16)
  + SUM(G15:G16)</f>
        <v>0</v>
      </c>
      <c r="G17" s="98"/>
      <c r="K17" s="66" t="s">
        <v>210</v>
      </c>
      <c r="L17" s="106"/>
    </row>
    <row r="18" spans="3:12" ht="16.5" customHeight="1" x14ac:dyDescent="0.1">
      <c r="D18" s="109" t="s">
        <v>165</v>
      </c>
      <c r="E18" s="109"/>
      <c r="F18" s="109"/>
      <c r="G18" s="109"/>
      <c r="H18" s="109"/>
      <c r="I18" s="109"/>
      <c r="J18" s="60"/>
      <c r="K18" s="66" t="s">
        <v>211</v>
      </c>
      <c r="L18" s="106"/>
    </row>
    <row r="19" spans="3:12" ht="16.5" customHeight="1" x14ac:dyDescent="0.1">
      <c r="C19" s="70"/>
      <c r="E19" s="32" t="s">
        <v>166</v>
      </c>
      <c r="F19" s="104">
        <f>F12-F17</f>
        <v>0</v>
      </c>
      <c r="G19" s="104"/>
      <c r="H19" s="1" t="s">
        <v>167</v>
      </c>
      <c r="I19" s="1" t="s">
        <v>168</v>
      </c>
      <c r="K19" s="66" t="s">
        <v>212</v>
      </c>
      <c r="L19" s="106"/>
    </row>
    <row r="20" spans="3:12" ht="16.5" customHeight="1" x14ac:dyDescent="0.1">
      <c r="D20" s="109" t="s">
        <v>169</v>
      </c>
      <c r="E20" s="109"/>
      <c r="F20" s="109"/>
      <c r="G20" s="109"/>
      <c r="H20" s="109"/>
      <c r="I20" s="109"/>
      <c r="J20" s="60"/>
      <c r="K20" s="66" t="s">
        <v>213</v>
      </c>
      <c r="L20" s="106"/>
    </row>
    <row r="21" spans="3:12" ht="16.5" customHeight="1" x14ac:dyDescent="0.1">
      <c r="E21" s="32" t="e" cm="1">
        <f t="array" aca="1" ref="E21" ca="1">- Interest Income</f>
        <v>#NAME?</v>
      </c>
      <c r="F21" s="63"/>
      <c r="H21" s="1" t="s">
        <v>170</v>
      </c>
      <c r="I21" s="1" t="s">
        <v>171</v>
      </c>
      <c r="K21" s="66" t="s">
        <v>214</v>
      </c>
      <c r="L21" s="106"/>
    </row>
    <row r="22" spans="3:12" ht="16.5" customHeight="1" x14ac:dyDescent="0.1">
      <c r="E22" s="32" t="s">
        <v>172</v>
      </c>
      <c r="G22" s="65"/>
      <c r="H22" s="1" t="s">
        <v>173</v>
      </c>
      <c r="I22" s="1" t="s">
        <v>174</v>
      </c>
      <c r="K22" s="66" t="s">
        <v>215</v>
      </c>
      <c r="L22" s="106"/>
    </row>
    <row r="23" spans="3:12" ht="16.5" customHeight="1" x14ac:dyDescent="0.1">
      <c r="E23" s="32" t="s">
        <v>175</v>
      </c>
      <c r="F23" s="63"/>
      <c r="G23" s="65"/>
      <c r="H23" s="1" t="s">
        <v>176</v>
      </c>
      <c r="I23" s="1" t="s">
        <v>177</v>
      </c>
      <c r="K23" s="66" t="s">
        <v>216</v>
      </c>
      <c r="L23" s="106"/>
    </row>
    <row r="24" spans="3:12" ht="16.5" customHeight="1" x14ac:dyDescent="0.1">
      <c r="E24" s="32" t="s">
        <v>178</v>
      </c>
      <c r="F24" s="63"/>
      <c r="G24" s="65"/>
      <c r="H24" s="1" t="s">
        <v>179</v>
      </c>
      <c r="I24" s="1" t="s">
        <v>180</v>
      </c>
      <c r="K24" s="66" t="s">
        <v>217</v>
      </c>
    </row>
    <row r="25" spans="3:12" ht="16.5" customHeight="1" x14ac:dyDescent="0.1">
      <c r="E25" s="39" t="s">
        <v>237</v>
      </c>
      <c r="F25" s="105">
        <f xml:space="preserve">   SUM(F21:F24)
  +SUM(G21:G24)</f>
        <v>0</v>
      </c>
      <c r="G25" s="105"/>
      <c r="K25" s="66" t="s">
        <v>218</v>
      </c>
    </row>
    <row r="26" spans="3:12" ht="16.5" customHeight="1" x14ac:dyDescent="0.15">
      <c r="D26" s="112" t="s">
        <v>181</v>
      </c>
      <c r="E26" s="112"/>
      <c r="F26" s="112"/>
      <c r="G26" s="112"/>
      <c r="H26" s="112"/>
      <c r="I26" s="112"/>
      <c r="J26" s="69"/>
      <c r="K26" s="66" t="s">
        <v>219</v>
      </c>
    </row>
    <row r="27" spans="3:12" ht="16.5" customHeight="1" x14ac:dyDescent="0.1">
      <c r="E27" s="32" t="s">
        <v>182</v>
      </c>
      <c r="F27" s="104">
        <f>F19+F25</f>
        <v>0</v>
      </c>
      <c r="G27" s="104"/>
      <c r="H27" s="1" t="s">
        <v>183</v>
      </c>
      <c r="I27" s="1" t="s">
        <v>184</v>
      </c>
      <c r="K27" s="66" t="s">
        <v>220</v>
      </c>
    </row>
    <row r="28" spans="3:12" ht="16.5" customHeight="1" x14ac:dyDescent="0.15">
      <c r="D28" s="112" t="s">
        <v>185</v>
      </c>
      <c r="E28" s="112"/>
      <c r="F28" s="112"/>
      <c r="G28" s="112"/>
      <c r="H28" s="112"/>
      <c r="I28" s="112"/>
      <c r="J28" s="69"/>
      <c r="K28" s="66" t="s">
        <v>221</v>
      </c>
    </row>
    <row r="29" spans="3:12" ht="16.5" customHeight="1" x14ac:dyDescent="0.1">
      <c r="E29" s="32" t="s">
        <v>186</v>
      </c>
      <c r="G29" s="65"/>
      <c r="H29" s="1" t="s">
        <v>187</v>
      </c>
      <c r="I29" s="1" t="s">
        <v>188</v>
      </c>
      <c r="K29" s="66" t="s">
        <v>222</v>
      </c>
    </row>
    <row r="30" spans="3:12" ht="16.5" customHeight="1" x14ac:dyDescent="0.1">
      <c r="E30" s="32"/>
      <c r="K30" s="66" t="s">
        <v>223</v>
      </c>
    </row>
    <row r="31" spans="3:12" ht="16.5" customHeight="1" x14ac:dyDescent="0.15">
      <c r="D31" s="112" t="s">
        <v>189</v>
      </c>
      <c r="E31" s="112"/>
      <c r="F31" s="112"/>
      <c r="G31" s="112"/>
      <c r="H31" s="112"/>
      <c r="I31" s="112"/>
      <c r="J31" s="69"/>
      <c r="K31" s="66" t="s">
        <v>224</v>
      </c>
    </row>
    <row r="32" spans="3:12" ht="16.5" customHeight="1" x14ac:dyDescent="0.1">
      <c r="E32" s="32" t="s">
        <v>190</v>
      </c>
      <c r="F32" s="104">
        <f>F27-G29</f>
        <v>0</v>
      </c>
      <c r="G32" s="104"/>
      <c r="H32" s="1" t="s">
        <v>191</v>
      </c>
      <c r="I32" s="1" t="s">
        <v>192</v>
      </c>
      <c r="K32" s="66" t="s">
        <v>17</v>
      </c>
    </row>
  </sheetData>
  <mergeCells count="19">
    <mergeCell ref="D2:E2"/>
    <mergeCell ref="D11:I11"/>
    <mergeCell ref="F7:G7"/>
    <mergeCell ref="F12:G12"/>
    <mergeCell ref="F19:G19"/>
    <mergeCell ref="F17:G17"/>
    <mergeCell ref="D4:E4"/>
    <mergeCell ref="D14:I14"/>
    <mergeCell ref="D18:I18"/>
    <mergeCell ref="D9:I9"/>
    <mergeCell ref="F27:G27"/>
    <mergeCell ref="F25:G25"/>
    <mergeCell ref="F32:G32"/>
    <mergeCell ref="L15:L23"/>
    <mergeCell ref="D3:I3"/>
    <mergeCell ref="D31:I31"/>
    <mergeCell ref="D28:I28"/>
    <mergeCell ref="D26:I26"/>
    <mergeCell ref="D20:I20"/>
  </mergeCells>
  <conditionalFormatting sqref="F1:F1048576">
    <cfRule type="containsText" dxfId="2" priority="3" operator="containsText" text="Credit">
      <formula>NOT(ISERROR(SEARCH("Credit",F1)))</formula>
    </cfRule>
  </conditionalFormatting>
  <conditionalFormatting sqref="F4">
    <cfRule type="containsText" dxfId="1" priority="4" operator="containsText" text="Credit">
      <formula>NOT(ISERROR(SEARCH("Credit",F4)))</formula>
    </cfRule>
  </conditionalFormatting>
  <conditionalFormatting sqref="F22:G25">
    <cfRule type="colorScale" priority="1">
      <colorScale>
        <cfvo type="min"/>
        <cfvo type="max"/>
        <color theme="7" tint="0.79998168889431442"/>
        <color theme="9" tint="0.79998168889431442"/>
      </colorScale>
    </cfRule>
  </conditionalFormatting>
  <conditionalFormatting sqref="G20:G24 G1:G11 G13:G16 G18 G26 G28:G31 G33:G1048576">
    <cfRule type="containsText" dxfId="0" priority="2" operator="containsText" text="Debit">
      <formula>NOT(ISERROR(SEARCH("Debit",G1)))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DC262-99FF-43C6-B0C6-95849479B1D7}">
  <dimension ref="A1:F32"/>
  <sheetViews>
    <sheetView zoomScale="150" zoomScaleNormal="150" workbookViewId="0">
      <selection activeCell="B19" sqref="B19:C19"/>
    </sheetView>
  </sheetViews>
  <sheetFormatPr defaultColWidth="10.91015625" defaultRowHeight="16.5" customHeight="1" x14ac:dyDescent="0.1"/>
  <cols>
    <col min="1" max="1" width="28.296875" style="1" customWidth="1"/>
    <col min="2" max="2" width="10.91015625" style="1"/>
    <col min="3" max="3" width="10.91015625" style="1" customWidth="1"/>
    <col min="4" max="4" width="21.82421875" style="1" customWidth="1"/>
    <col min="5" max="5" width="24.96875" style="1" customWidth="1"/>
    <col min="6" max="16384" width="10.91015625" style="1"/>
  </cols>
  <sheetData>
    <row r="1" spans="1:6" s="2" customFormat="1" ht="16.5" customHeight="1" x14ac:dyDescent="0.1">
      <c r="A1" s="2" t="s">
        <v>269</v>
      </c>
      <c r="B1" s="2" t="s">
        <v>52</v>
      </c>
      <c r="C1" s="2" t="s">
        <v>75</v>
      </c>
      <c r="D1" s="2" t="s">
        <v>49</v>
      </c>
      <c r="E1" s="2" t="s">
        <v>50</v>
      </c>
    </row>
    <row r="2" spans="1:6" s="111" customFormat="1" ht="16.5" customHeight="1" x14ac:dyDescent="0.15">
      <c r="A2" s="111" t="s">
        <v>270</v>
      </c>
    </row>
    <row r="3" spans="1:6" ht="16.5" customHeight="1" x14ac:dyDescent="0.1">
      <c r="A3" s="1" t="s">
        <v>236</v>
      </c>
      <c r="B3" s="89"/>
      <c r="D3" s="1" t="s">
        <v>271</v>
      </c>
      <c r="E3" s="1" t="s">
        <v>272</v>
      </c>
      <c r="F3" s="1" t="s">
        <v>271</v>
      </c>
    </row>
    <row r="4" spans="1:6" ht="16.5" customHeight="1" x14ac:dyDescent="0.1">
      <c r="A4" s="1" t="s">
        <v>273</v>
      </c>
    </row>
    <row r="5" spans="1:6" ht="16.5" customHeight="1" x14ac:dyDescent="0.1">
      <c r="A5" s="1" t="s">
        <v>162</v>
      </c>
      <c r="C5" s="88"/>
      <c r="D5" s="1" t="s">
        <v>274</v>
      </c>
      <c r="E5" s="1" t="s">
        <v>275</v>
      </c>
    </row>
    <row r="6" spans="1:6" ht="16.5" customHeight="1" x14ac:dyDescent="0.1">
      <c r="A6" s="1" t="s">
        <v>276</v>
      </c>
      <c r="B6" s="89"/>
      <c r="C6" s="88"/>
      <c r="D6" s="1" t="s">
        <v>277</v>
      </c>
      <c r="E6" s="1" t="s">
        <v>278</v>
      </c>
    </row>
    <row r="7" spans="1:6" ht="16.5" customHeight="1" x14ac:dyDescent="0.1">
      <c r="A7" s="1" t="s">
        <v>279</v>
      </c>
      <c r="B7" s="89"/>
      <c r="C7" s="88"/>
      <c r="D7" s="1" t="s">
        <v>280</v>
      </c>
      <c r="E7" s="1" t="s">
        <v>281</v>
      </c>
    </row>
    <row r="8" spans="1:6" ht="16.5" customHeight="1" x14ac:dyDescent="0.1">
      <c r="A8" s="1" t="s">
        <v>282</v>
      </c>
      <c r="B8" s="89"/>
      <c r="C8" s="88"/>
      <c r="D8" s="1" t="s">
        <v>283</v>
      </c>
      <c r="E8" s="1" t="s">
        <v>284</v>
      </c>
    </row>
    <row r="9" spans="1:6" ht="16.5" customHeight="1" x14ac:dyDescent="0.1">
      <c r="A9" s="1" t="s">
        <v>285</v>
      </c>
      <c r="B9" s="89"/>
      <c r="C9" s="88"/>
      <c r="D9" s="1" t="s">
        <v>286</v>
      </c>
      <c r="E9" s="1" t="s">
        <v>287</v>
      </c>
    </row>
    <row r="10" spans="1:6" ht="16.5" customHeight="1" x14ac:dyDescent="0.1">
      <c r="A10" s="1" t="s">
        <v>288</v>
      </c>
      <c r="B10" s="89"/>
      <c r="C10" s="88"/>
      <c r="D10" s="1" t="s">
        <v>289</v>
      </c>
      <c r="E10" s="1" t="s">
        <v>290</v>
      </c>
      <c r="F10" s="1" t="s">
        <v>289</v>
      </c>
    </row>
    <row r="11" spans="1:6" ht="16.5" customHeight="1" x14ac:dyDescent="0.1">
      <c r="A11" s="61" t="s">
        <v>291</v>
      </c>
      <c r="B11" s="105">
        <f>SUM(B6:B10) + SUM(C5:C10)</f>
        <v>0</v>
      </c>
      <c r="C11" s="105"/>
      <c r="D11" s="1" t="s">
        <v>292</v>
      </c>
      <c r="E11" s="1" t="s">
        <v>293</v>
      </c>
    </row>
    <row r="12" spans="1:6" ht="16.5" customHeight="1" x14ac:dyDescent="0.1">
      <c r="A12" s="61"/>
      <c r="B12" s="90"/>
      <c r="C12" s="90"/>
    </row>
    <row r="13" spans="1:6" s="111" customFormat="1" ht="16.5" customHeight="1" x14ac:dyDescent="0.15">
      <c r="A13" s="111" t="s">
        <v>252</v>
      </c>
    </row>
    <row r="14" spans="1:6" ht="16.5" customHeight="1" x14ac:dyDescent="0.1">
      <c r="A14" s="1" t="s">
        <v>294</v>
      </c>
      <c r="C14" s="88"/>
      <c r="D14" s="1" t="s">
        <v>295</v>
      </c>
      <c r="E14" s="1" t="s">
        <v>296</v>
      </c>
    </row>
    <row r="15" spans="1:6" ht="16.5" customHeight="1" x14ac:dyDescent="0.1">
      <c r="A15" s="1" t="s">
        <v>297</v>
      </c>
      <c r="B15" s="89"/>
      <c r="D15" s="1" t="s">
        <v>298</v>
      </c>
      <c r="E15" s="1" t="s">
        <v>299</v>
      </c>
    </row>
    <row r="16" spans="1:6" ht="16.5" customHeight="1" x14ac:dyDescent="0.1">
      <c r="A16" s="1" t="s">
        <v>300</v>
      </c>
      <c r="C16" s="88"/>
      <c r="D16" s="1" t="s">
        <v>301</v>
      </c>
      <c r="E16" s="1" t="s">
        <v>302</v>
      </c>
    </row>
    <row r="17" spans="1:6" ht="16.5" customHeight="1" x14ac:dyDescent="0.1">
      <c r="A17" s="1" t="s">
        <v>303</v>
      </c>
      <c r="B17" s="89"/>
      <c r="D17" s="1" t="s">
        <v>304</v>
      </c>
      <c r="E17" s="1" t="s">
        <v>305</v>
      </c>
    </row>
    <row r="18" spans="1:6" ht="16.5" customHeight="1" x14ac:dyDescent="0.1">
      <c r="A18" s="1" t="s">
        <v>288</v>
      </c>
      <c r="B18" s="89"/>
      <c r="C18" s="88"/>
      <c r="E18" s="1" t="s">
        <v>307</v>
      </c>
      <c r="F18" s="1" t="s">
        <v>306</v>
      </c>
    </row>
    <row r="19" spans="1:6" ht="16.5" customHeight="1" x14ac:dyDescent="0.1">
      <c r="A19" s="61" t="s">
        <v>308</v>
      </c>
      <c r="B19" s="115">
        <f>SUM(B14:B18 ) + SUM(C14:C18)</f>
        <v>0</v>
      </c>
      <c r="C19" s="115"/>
      <c r="D19" s="1" t="s">
        <v>309</v>
      </c>
      <c r="E19" s="1" t="s">
        <v>310</v>
      </c>
    </row>
    <row r="20" spans="1:6" ht="16.5" customHeight="1" x14ac:dyDescent="0.1">
      <c r="C20" s="91"/>
    </row>
    <row r="21" spans="1:6" s="111" customFormat="1" ht="16.5" customHeight="1" x14ac:dyDescent="0.15">
      <c r="A21" s="111" t="s">
        <v>260</v>
      </c>
    </row>
    <row r="22" spans="1:6" ht="16.5" customHeight="1" x14ac:dyDescent="0.1">
      <c r="A22" s="1" t="s">
        <v>311</v>
      </c>
      <c r="B22" s="89"/>
      <c r="D22" s="1" t="s">
        <v>312</v>
      </c>
      <c r="E22" s="1" t="s">
        <v>313</v>
      </c>
    </row>
    <row r="23" spans="1:6" ht="16.5" customHeight="1" x14ac:dyDescent="0.1">
      <c r="A23" s="1" t="s">
        <v>314</v>
      </c>
      <c r="C23" s="88"/>
      <c r="D23" s="1" t="s">
        <v>315</v>
      </c>
      <c r="E23" s="1" t="s">
        <v>316</v>
      </c>
    </row>
    <row r="24" spans="1:6" ht="16.5" customHeight="1" x14ac:dyDescent="0.1">
      <c r="A24" s="1" t="s">
        <v>317</v>
      </c>
      <c r="B24" s="89"/>
      <c r="D24" s="1" t="s">
        <v>318</v>
      </c>
      <c r="E24" s="1" t="s">
        <v>319</v>
      </c>
    </row>
    <row r="25" spans="1:6" ht="16.5" customHeight="1" x14ac:dyDescent="0.1">
      <c r="A25" s="1" t="s">
        <v>320</v>
      </c>
      <c r="C25" s="88"/>
      <c r="D25" s="1" t="s">
        <v>321</v>
      </c>
      <c r="E25" s="1" t="s">
        <v>322</v>
      </c>
    </row>
    <row r="26" spans="1:6" ht="16.5" customHeight="1" x14ac:dyDescent="0.1">
      <c r="A26" s="1" t="s">
        <v>323</v>
      </c>
      <c r="C26" s="88"/>
      <c r="D26" s="1" t="s">
        <v>324</v>
      </c>
      <c r="E26" s="1" t="s">
        <v>325</v>
      </c>
    </row>
    <row r="27" spans="1:6" ht="16.5" customHeight="1" x14ac:dyDescent="0.1">
      <c r="A27" s="1" t="s">
        <v>288</v>
      </c>
      <c r="B27" s="89"/>
      <c r="C27" s="88"/>
      <c r="D27" s="1" t="s">
        <v>326</v>
      </c>
      <c r="E27" s="1" t="s">
        <v>327</v>
      </c>
    </row>
    <row r="28" spans="1:6" ht="16.5" customHeight="1" x14ac:dyDescent="0.1">
      <c r="A28" s="61" t="s">
        <v>328</v>
      </c>
      <c r="B28" s="114">
        <f>SUM(B22:B27)+SUM(C22:C27)</f>
        <v>0</v>
      </c>
      <c r="C28" s="114"/>
      <c r="D28" s="1" t="s">
        <v>329</v>
      </c>
      <c r="E28" s="1" t="s">
        <v>330</v>
      </c>
    </row>
    <row r="29" spans="1:6" s="94" customFormat="1" ht="16.5" customHeight="1" x14ac:dyDescent="0.1">
      <c r="A29" s="92"/>
      <c r="B29" s="93"/>
      <c r="C29" s="93"/>
    </row>
    <row r="30" spans="1:6" ht="16.5" customHeight="1" x14ac:dyDescent="0.1">
      <c r="A30" s="1" t="s">
        <v>331</v>
      </c>
      <c r="B30" s="105">
        <f>B11+B19+B28</f>
        <v>0</v>
      </c>
      <c r="C30" s="113"/>
      <c r="D30" s="1" t="s">
        <v>332</v>
      </c>
      <c r="E30" s="1" t="s">
        <v>333</v>
      </c>
    </row>
    <row r="31" spans="1:6" ht="16.5" customHeight="1" x14ac:dyDescent="0.1">
      <c r="A31" s="1" t="s">
        <v>334</v>
      </c>
      <c r="B31" s="89"/>
      <c r="D31" s="1" t="s">
        <v>335</v>
      </c>
      <c r="E31" s="1" t="s">
        <v>336</v>
      </c>
    </row>
    <row r="32" spans="1:6" ht="16.5" customHeight="1" x14ac:dyDescent="0.1">
      <c r="A32" s="1" t="s">
        <v>337</v>
      </c>
      <c r="B32" s="89">
        <f>B30+B31</f>
        <v>0</v>
      </c>
      <c r="D32" s="1" t="s">
        <v>338</v>
      </c>
      <c r="E32" s="1" t="s">
        <v>339</v>
      </c>
    </row>
  </sheetData>
  <mergeCells count="7">
    <mergeCell ref="B30:C30"/>
    <mergeCell ref="B11:C11"/>
    <mergeCell ref="B28:C28"/>
    <mergeCell ref="A2:XFD2"/>
    <mergeCell ref="A13:XFD13"/>
    <mergeCell ref="A21:XFD21"/>
    <mergeCell ref="B19:C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9FF61-FF61-43A2-A2FA-4FCAF26898B6}">
  <dimension ref="C1:H35"/>
  <sheetViews>
    <sheetView zoomScale="150" zoomScaleNormal="150" workbookViewId="0">
      <selection activeCell="C37" sqref="C37:F92"/>
    </sheetView>
  </sheetViews>
  <sheetFormatPr defaultColWidth="10.91015625" defaultRowHeight="16.5" customHeight="1" x14ac:dyDescent="0.1"/>
  <cols>
    <col min="1" max="2" width="7.953125" style="1" customWidth="1"/>
    <col min="3" max="3" width="23.67578125" style="33" customWidth="1"/>
    <col min="4" max="4" width="13.31640625" style="1" customWidth="1"/>
    <col min="5" max="5" width="12.76171875" style="1" customWidth="1"/>
    <col min="6" max="6" width="26.078125" style="1" customWidth="1"/>
    <col min="7" max="7" width="28.66796875" style="1" customWidth="1"/>
    <col min="8" max="8" width="10.91015625" style="31"/>
    <col min="9" max="16384" width="10.91015625" style="1"/>
  </cols>
  <sheetData>
    <row r="1" spans="3:8" s="2" customFormat="1" ht="16.5" customHeight="1" x14ac:dyDescent="0.1">
      <c r="C1" s="35"/>
      <c r="H1" s="30"/>
    </row>
    <row r="2" spans="3:8" s="2" customFormat="1" ht="21" customHeight="1" x14ac:dyDescent="0.1">
      <c r="C2" s="30" t="s">
        <v>48</v>
      </c>
      <c r="D2" s="2" t="s">
        <v>129</v>
      </c>
      <c r="E2" s="2" t="s">
        <v>130</v>
      </c>
      <c r="F2" s="2" t="s">
        <v>49</v>
      </c>
      <c r="G2" s="2" t="s">
        <v>50</v>
      </c>
      <c r="H2" s="30"/>
    </row>
    <row r="3" spans="3:8" s="2" customFormat="1" ht="16.5" customHeight="1" x14ac:dyDescent="0.1">
      <c r="C3" s="118" t="s">
        <v>88</v>
      </c>
      <c r="D3" s="118"/>
      <c r="E3" s="118"/>
      <c r="F3" s="118"/>
      <c r="G3" s="118"/>
      <c r="H3" s="30"/>
    </row>
    <row r="4" spans="3:8" ht="16.5" customHeight="1" x14ac:dyDescent="0.1">
      <c r="C4" s="100" t="s">
        <v>3</v>
      </c>
      <c r="D4" s="100"/>
      <c r="E4" s="100"/>
      <c r="F4" s="100"/>
      <c r="G4" s="100"/>
    </row>
    <row r="5" spans="3:8" ht="16.5" customHeight="1" x14ac:dyDescent="0.1">
      <c r="C5" s="33" t="s">
        <v>89</v>
      </c>
      <c r="D5" s="1" t="s">
        <v>75</v>
      </c>
      <c r="F5" s="1" t="s">
        <v>90</v>
      </c>
      <c r="G5" s="1" t="s">
        <v>91</v>
      </c>
    </row>
    <row r="6" spans="3:8" ht="16.5" customHeight="1" x14ac:dyDescent="0.1">
      <c r="C6" s="33" t="s">
        <v>92</v>
      </c>
      <c r="D6" s="1" t="s">
        <v>75</v>
      </c>
      <c r="F6" s="1" t="s">
        <v>93</v>
      </c>
      <c r="G6" s="1" t="s">
        <v>94</v>
      </c>
    </row>
    <row r="7" spans="3:8" ht="16.5" customHeight="1" x14ac:dyDescent="0.1">
      <c r="C7" s="33" t="s">
        <v>95</v>
      </c>
      <c r="D7" s="1" t="s">
        <v>75</v>
      </c>
      <c r="F7" s="1" t="s">
        <v>96</v>
      </c>
      <c r="G7" s="1" t="s">
        <v>97</v>
      </c>
    </row>
    <row r="8" spans="3:8" ht="16.5" customHeight="1" x14ac:dyDescent="0.1">
      <c r="C8" s="36" t="s">
        <v>127</v>
      </c>
      <c r="E8" s="37" t="s">
        <v>52</v>
      </c>
      <c r="F8" s="1" t="s">
        <v>98</v>
      </c>
      <c r="G8" s="1" t="s">
        <v>99</v>
      </c>
    </row>
    <row r="9" spans="3:8" ht="16.5" customHeight="1" x14ac:dyDescent="0.1">
      <c r="C9" s="33" t="s">
        <v>100</v>
      </c>
      <c r="D9" s="1" t="s">
        <v>75</v>
      </c>
      <c r="F9" s="1" t="s">
        <v>101</v>
      </c>
      <c r="G9" s="1" t="s">
        <v>102</v>
      </c>
    </row>
    <row r="10" spans="3:8" ht="16.5" customHeight="1" x14ac:dyDescent="0.1">
      <c r="C10" s="33" t="s">
        <v>103</v>
      </c>
      <c r="D10" s="1" t="s">
        <v>75</v>
      </c>
      <c r="F10" s="1" t="s">
        <v>104</v>
      </c>
      <c r="G10" s="1" t="s">
        <v>105</v>
      </c>
    </row>
    <row r="11" spans="3:8" ht="16.5" customHeight="1" x14ac:dyDescent="0.15">
      <c r="C11" s="101" t="s">
        <v>106</v>
      </c>
      <c r="D11" s="101"/>
      <c r="E11" s="101"/>
      <c r="F11" s="101"/>
      <c r="G11" s="101"/>
    </row>
    <row r="12" spans="3:8" ht="16.5" customHeight="1" x14ac:dyDescent="0.1">
      <c r="C12" s="33" t="s">
        <v>107</v>
      </c>
      <c r="D12" s="1" t="s">
        <v>75</v>
      </c>
      <c r="F12" s="1" t="s">
        <v>108</v>
      </c>
      <c r="G12" s="1" t="s">
        <v>109</v>
      </c>
    </row>
    <row r="13" spans="3:8" ht="16.5" customHeight="1" x14ac:dyDescent="0.1">
      <c r="C13" s="33" t="s">
        <v>110</v>
      </c>
      <c r="D13" s="1" t="s">
        <v>75</v>
      </c>
      <c r="F13" s="1" t="s">
        <v>111</v>
      </c>
      <c r="G13" s="1" t="s">
        <v>112</v>
      </c>
    </row>
    <row r="14" spans="3:8" ht="16.5" customHeight="1" x14ac:dyDescent="0.1">
      <c r="C14" s="36" t="s">
        <v>126</v>
      </c>
      <c r="D14" s="38"/>
      <c r="E14" s="38" t="s">
        <v>52</v>
      </c>
      <c r="F14" s="1" t="s">
        <v>113</v>
      </c>
      <c r="G14" s="1" t="s">
        <v>114</v>
      </c>
    </row>
    <row r="15" spans="3:8" ht="16.5" customHeight="1" x14ac:dyDescent="0.1">
      <c r="C15" s="33" t="s">
        <v>115</v>
      </c>
      <c r="D15" s="1" t="s">
        <v>75</v>
      </c>
      <c r="F15" s="1" t="s">
        <v>116</v>
      </c>
      <c r="G15" s="1" t="s">
        <v>117</v>
      </c>
    </row>
    <row r="16" spans="3:8" ht="16.5" customHeight="1" x14ac:dyDescent="0.1">
      <c r="C16" s="36" t="s">
        <v>125</v>
      </c>
      <c r="D16" s="38"/>
      <c r="E16" s="38" t="s">
        <v>52</v>
      </c>
      <c r="F16" s="1" t="s">
        <v>118</v>
      </c>
      <c r="G16" s="1" t="s">
        <v>119</v>
      </c>
    </row>
    <row r="17" spans="3:7" ht="16.5" customHeight="1" x14ac:dyDescent="0.1">
      <c r="C17" s="33" t="s">
        <v>120</v>
      </c>
      <c r="D17" s="1" t="s">
        <v>75</v>
      </c>
      <c r="F17" s="1" t="s">
        <v>121</v>
      </c>
      <c r="G17" s="1" t="s">
        <v>122</v>
      </c>
    </row>
    <row r="19" spans="3:7" ht="16.5" customHeight="1" x14ac:dyDescent="0.1">
      <c r="C19" s="117" t="s">
        <v>51</v>
      </c>
      <c r="D19" s="117"/>
      <c r="E19" s="117"/>
      <c r="F19" s="117"/>
      <c r="G19" s="117"/>
    </row>
    <row r="20" spans="3:7" ht="16.5" customHeight="1" x14ac:dyDescent="0.15">
      <c r="C20" s="103" t="s">
        <v>22</v>
      </c>
      <c r="D20" s="103"/>
      <c r="E20" s="103"/>
      <c r="F20" s="103"/>
      <c r="G20" s="103"/>
    </row>
    <row r="21" spans="3:7" ht="16.5" customHeight="1" x14ac:dyDescent="0.1">
      <c r="C21" s="34" t="s">
        <v>80</v>
      </c>
      <c r="D21" s="1" t="s">
        <v>52</v>
      </c>
      <c r="F21" s="1" t="s">
        <v>53</v>
      </c>
      <c r="G21" s="1" t="s">
        <v>54</v>
      </c>
    </row>
    <row r="22" spans="3:7" ht="16.5" customHeight="1" x14ac:dyDescent="0.1">
      <c r="C22" s="34" t="s">
        <v>79</v>
      </c>
      <c r="D22" s="1" t="s">
        <v>52</v>
      </c>
      <c r="F22" s="1" t="s">
        <v>55</v>
      </c>
      <c r="G22" s="1" t="s">
        <v>56</v>
      </c>
    </row>
    <row r="23" spans="3:7" ht="16.5" customHeight="1" x14ac:dyDescent="0.1">
      <c r="C23" s="34" t="s">
        <v>78</v>
      </c>
      <c r="D23" s="1" t="s">
        <v>52</v>
      </c>
      <c r="F23" s="1" t="s">
        <v>57</v>
      </c>
      <c r="G23" s="1" t="s">
        <v>58</v>
      </c>
    </row>
    <row r="24" spans="3:7" ht="16.5" customHeight="1" x14ac:dyDescent="0.1">
      <c r="C24" s="34" t="s">
        <v>123</v>
      </c>
      <c r="D24" s="1" t="s">
        <v>52</v>
      </c>
      <c r="F24" s="1" t="s">
        <v>57</v>
      </c>
      <c r="G24" s="1" t="s">
        <v>59</v>
      </c>
    </row>
    <row r="25" spans="3:7" ht="16.5" customHeight="1" x14ac:dyDescent="0.15">
      <c r="C25" s="103" t="s">
        <v>60</v>
      </c>
      <c r="D25" s="103"/>
      <c r="E25" s="103"/>
      <c r="F25" s="103"/>
      <c r="G25" s="103"/>
    </row>
    <row r="26" spans="3:7" ht="16.5" customHeight="1" x14ac:dyDescent="0.1">
      <c r="C26" s="34" t="s">
        <v>81</v>
      </c>
      <c r="D26" s="1" t="s">
        <v>52</v>
      </c>
      <c r="F26" s="1" t="s">
        <v>57</v>
      </c>
      <c r="G26" s="1" t="s">
        <v>61</v>
      </c>
    </row>
    <row r="27" spans="3:7" ht="16.5" customHeight="1" x14ac:dyDescent="0.1">
      <c r="C27" s="34" t="s">
        <v>82</v>
      </c>
      <c r="D27" s="1" t="s">
        <v>52</v>
      </c>
      <c r="F27" s="1" t="s">
        <v>62</v>
      </c>
      <c r="G27" s="1" t="s">
        <v>63</v>
      </c>
    </row>
    <row r="28" spans="3:7" ht="16.5" customHeight="1" x14ac:dyDescent="0.1">
      <c r="C28" s="34" t="s">
        <v>124</v>
      </c>
      <c r="D28" s="1" t="s">
        <v>52</v>
      </c>
      <c r="F28" s="1" t="s">
        <v>64</v>
      </c>
      <c r="G28" s="1" t="s">
        <v>65</v>
      </c>
    </row>
    <row r="29" spans="3:7" ht="16.5" customHeight="1" x14ac:dyDescent="0.1">
      <c r="C29" s="34"/>
    </row>
    <row r="30" spans="3:7" ht="16.5" customHeight="1" x14ac:dyDescent="0.15">
      <c r="C30" s="116" t="s">
        <v>66</v>
      </c>
      <c r="D30" s="116"/>
      <c r="E30" s="116"/>
      <c r="F30" s="116"/>
      <c r="G30" s="116"/>
    </row>
    <row r="31" spans="3:7" ht="16.5" customHeight="1" x14ac:dyDescent="0.1">
      <c r="C31" s="34" t="s">
        <v>83</v>
      </c>
      <c r="D31" s="1" t="s">
        <v>52</v>
      </c>
      <c r="F31" s="1" t="s">
        <v>67</v>
      </c>
      <c r="G31" s="1" t="s">
        <v>68</v>
      </c>
    </row>
    <row r="32" spans="3:7" ht="16.5" customHeight="1" x14ac:dyDescent="0.1">
      <c r="C32" s="34" t="s">
        <v>84</v>
      </c>
      <c r="D32" s="1" t="s">
        <v>52</v>
      </c>
      <c r="F32" s="1" t="s">
        <v>69</v>
      </c>
      <c r="G32" s="1" t="s">
        <v>70</v>
      </c>
    </row>
    <row r="33" spans="3:7" ht="16.5" customHeight="1" x14ac:dyDescent="0.1">
      <c r="C33" s="34" t="s">
        <v>85</v>
      </c>
      <c r="D33" s="1" t="s">
        <v>52</v>
      </c>
      <c r="F33" s="1" t="s">
        <v>71</v>
      </c>
      <c r="G33" s="1" t="s">
        <v>72</v>
      </c>
    </row>
    <row r="34" spans="3:7" ht="16.5" customHeight="1" x14ac:dyDescent="0.1">
      <c r="C34" s="34" t="s">
        <v>86</v>
      </c>
      <c r="D34" s="1" t="s">
        <v>52</v>
      </c>
      <c r="F34" s="1" t="s">
        <v>73</v>
      </c>
      <c r="G34" s="1" t="s">
        <v>74</v>
      </c>
    </row>
    <row r="35" spans="3:7" ht="16.5" customHeight="1" x14ac:dyDescent="0.1">
      <c r="C35" s="36" t="s">
        <v>87</v>
      </c>
      <c r="D35" s="38"/>
      <c r="E35" s="38" t="s">
        <v>75</v>
      </c>
      <c r="F35" s="1" t="s">
        <v>76</v>
      </c>
      <c r="G35" s="1" t="s">
        <v>77</v>
      </c>
    </row>
  </sheetData>
  <mergeCells count="7">
    <mergeCell ref="C30:G30"/>
    <mergeCell ref="C19:G19"/>
    <mergeCell ref="C3:G3"/>
    <mergeCell ref="C11:G11"/>
    <mergeCell ref="C4:G4"/>
    <mergeCell ref="C25:G25"/>
    <mergeCell ref="C20:G2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7FFC1-A587-43B4-B7DE-134AD3AAD873}">
  <dimension ref="B3:E58"/>
  <sheetViews>
    <sheetView topLeftCell="A21" workbookViewId="0">
      <selection activeCell="C23" sqref="C23:C40"/>
    </sheetView>
  </sheetViews>
  <sheetFormatPr defaultRowHeight="11.25" x14ac:dyDescent="0.15"/>
  <cols>
    <col min="2" max="2" width="7.953125" customWidth="1"/>
    <col min="3" max="3" width="60.85546875" customWidth="1"/>
    <col min="4" max="4" width="23.67578125" customWidth="1"/>
    <col min="5" max="5" width="23.3046875" customWidth="1"/>
  </cols>
  <sheetData>
    <row r="3" spans="2:5" ht="25.5" x14ac:dyDescent="0.1">
      <c r="B3" s="48" t="s">
        <v>0</v>
      </c>
      <c r="C3" s="48"/>
      <c r="D3" s="3"/>
      <c r="E3" s="49" t="s">
        <v>193</v>
      </c>
    </row>
    <row r="4" spans="2:5" ht="14.25" x14ac:dyDescent="0.1">
      <c r="B4" s="3"/>
      <c r="C4" s="5"/>
      <c r="D4" s="5"/>
      <c r="E4" s="50" t="s">
        <v>194</v>
      </c>
    </row>
    <row r="5" spans="2:5" ht="14.25" x14ac:dyDescent="0.1">
      <c r="B5" s="6"/>
      <c r="C5" s="6"/>
      <c r="D5" s="6"/>
      <c r="E5" s="6"/>
    </row>
    <row r="6" spans="2:5" ht="18.75" x14ac:dyDescent="0.1">
      <c r="B6" s="51" t="s">
        <v>195</v>
      </c>
      <c r="C6" s="51"/>
      <c r="D6" s="52">
        <v>2020</v>
      </c>
      <c r="E6" s="52">
        <v>2019</v>
      </c>
    </row>
    <row r="7" spans="2:5" ht="14.25" x14ac:dyDescent="0.1">
      <c r="B7" s="6"/>
      <c r="C7" s="5" t="s">
        <v>196</v>
      </c>
      <c r="D7" s="53">
        <v>181683</v>
      </c>
      <c r="E7" s="53"/>
    </row>
    <row r="8" spans="2:5" ht="14.25" x14ac:dyDescent="0.1">
      <c r="B8" s="6"/>
      <c r="C8" s="5" t="s">
        <v>197</v>
      </c>
      <c r="D8" s="53">
        <v>-10000</v>
      </c>
      <c r="E8" s="53"/>
    </row>
    <row r="9" spans="2:5" ht="15" x14ac:dyDescent="0.1">
      <c r="B9" s="6"/>
      <c r="C9" s="15" t="s">
        <v>198</v>
      </c>
      <c r="D9" s="54">
        <f>D7+D8</f>
        <v>171683</v>
      </c>
      <c r="E9" s="54">
        <f>E7+E8</f>
        <v>0</v>
      </c>
    </row>
    <row r="10" spans="2:5" ht="14.25" x14ac:dyDescent="0.1">
      <c r="B10" s="6"/>
      <c r="C10" s="6"/>
      <c r="D10" s="6"/>
      <c r="E10" s="6"/>
    </row>
    <row r="11" spans="2:5" ht="18.75" x14ac:dyDescent="0.1">
      <c r="B11" s="51" t="s">
        <v>199</v>
      </c>
      <c r="C11" s="51"/>
      <c r="D11" s="55"/>
      <c r="E11" s="55"/>
    </row>
    <row r="12" spans="2:5" ht="14.25" x14ac:dyDescent="0.1">
      <c r="B12" s="6"/>
      <c r="C12" s="5" t="s">
        <v>200</v>
      </c>
      <c r="D12" s="53"/>
      <c r="E12" s="53"/>
    </row>
    <row r="13" spans="2:5" ht="14.25" x14ac:dyDescent="0.1">
      <c r="B13" s="6"/>
      <c r="C13" s="5" t="s">
        <v>201</v>
      </c>
      <c r="D13" s="53"/>
      <c r="E13" s="53"/>
    </row>
    <row r="14" spans="2:5" ht="14.25" x14ac:dyDescent="0.1">
      <c r="B14" s="6"/>
      <c r="C14" s="5" t="s">
        <v>202</v>
      </c>
      <c r="D14" s="53">
        <v>30028</v>
      </c>
      <c r="E14" s="53"/>
    </row>
    <row r="15" spans="2:5" ht="14.25" x14ac:dyDescent="0.1">
      <c r="B15" s="6"/>
      <c r="C15" s="5" t="s">
        <v>203</v>
      </c>
      <c r="D15" s="53">
        <v>100000</v>
      </c>
      <c r="E15" s="53"/>
    </row>
    <row r="16" spans="2:5" ht="14.25" x14ac:dyDescent="0.1">
      <c r="B16" s="6"/>
      <c r="C16" s="56" t="s">
        <v>204</v>
      </c>
      <c r="D16" s="57">
        <f>SUM(D12:D15)</f>
        <v>130028</v>
      </c>
      <c r="E16" s="57">
        <f>SUM(E12:E15)</f>
        <v>0</v>
      </c>
    </row>
    <row r="17" spans="2:5" ht="14.25" x14ac:dyDescent="0.1">
      <c r="B17" s="6"/>
      <c r="C17" s="5" t="s">
        <v>205</v>
      </c>
      <c r="D17" s="53"/>
      <c r="E17" s="53"/>
    </row>
    <row r="18" spans="2:5" ht="14.25" x14ac:dyDescent="0.1">
      <c r="B18" s="6"/>
      <c r="C18" s="56" t="s">
        <v>199</v>
      </c>
      <c r="D18" s="57">
        <f>D16+D17</f>
        <v>130028</v>
      </c>
      <c r="E18" s="57">
        <f>E16+E17</f>
        <v>0</v>
      </c>
    </row>
    <row r="19" spans="2:5" ht="14.25" x14ac:dyDescent="0.1">
      <c r="B19" s="6"/>
      <c r="C19" s="6"/>
      <c r="D19" s="6"/>
      <c r="E19" s="6"/>
    </row>
    <row r="20" spans="2:5" ht="15" x14ac:dyDescent="0.1">
      <c r="B20" s="6"/>
      <c r="C20" s="15" t="s">
        <v>206</v>
      </c>
      <c r="D20" s="54">
        <f>D9-D18</f>
        <v>41655</v>
      </c>
      <c r="E20" s="54">
        <f>E9-E18</f>
        <v>0</v>
      </c>
    </row>
    <row r="21" spans="2:5" ht="14.25" x14ac:dyDescent="0.1">
      <c r="B21" s="6"/>
      <c r="C21" s="6"/>
      <c r="D21" s="6"/>
      <c r="E21" s="6"/>
    </row>
    <row r="22" spans="2:5" ht="18.75" x14ac:dyDescent="0.1">
      <c r="B22" s="51" t="s">
        <v>207</v>
      </c>
      <c r="C22" s="51"/>
      <c r="D22" s="55"/>
      <c r="E22" s="55"/>
    </row>
    <row r="23" spans="2:5" ht="14.25" x14ac:dyDescent="0.1">
      <c r="B23" s="6"/>
      <c r="C23" s="5" t="s">
        <v>208</v>
      </c>
      <c r="D23" s="53"/>
      <c r="E23" s="53"/>
    </row>
    <row r="24" spans="2:5" ht="14.25" x14ac:dyDescent="0.1">
      <c r="B24" s="6"/>
      <c r="C24" s="5" t="s">
        <v>209</v>
      </c>
      <c r="D24" s="53"/>
      <c r="E24" s="53"/>
    </row>
    <row r="25" spans="2:5" ht="14.25" x14ac:dyDescent="0.1">
      <c r="B25" s="6"/>
      <c r="C25" s="5" t="s">
        <v>210</v>
      </c>
      <c r="D25" s="53"/>
      <c r="E25" s="53"/>
    </row>
    <row r="26" spans="2:5" ht="14.25" x14ac:dyDescent="0.1">
      <c r="B26" s="6"/>
      <c r="C26" s="5" t="s">
        <v>211</v>
      </c>
      <c r="D26" s="53">
        <v>16616</v>
      </c>
      <c r="E26" s="53"/>
    </row>
    <row r="27" spans="2:5" ht="14.25" x14ac:dyDescent="0.1">
      <c r="B27" s="6"/>
      <c r="C27" s="5" t="s">
        <v>212</v>
      </c>
      <c r="D27" s="53"/>
      <c r="E27" s="53"/>
    </row>
    <row r="28" spans="2:5" ht="14.25" x14ac:dyDescent="0.1">
      <c r="B28" s="6"/>
      <c r="C28" s="5" t="s">
        <v>213</v>
      </c>
      <c r="D28" s="53"/>
      <c r="E28" s="53"/>
    </row>
    <row r="29" spans="2:5" ht="14.25" x14ac:dyDescent="0.1">
      <c r="B29" s="6"/>
      <c r="C29" s="5" t="s">
        <v>214</v>
      </c>
      <c r="D29" s="53"/>
      <c r="E29" s="53"/>
    </row>
    <row r="30" spans="2:5" ht="14.25" x14ac:dyDescent="0.1">
      <c r="B30" s="6"/>
      <c r="C30" s="5" t="s">
        <v>215</v>
      </c>
      <c r="D30" s="53"/>
      <c r="E30" s="53"/>
    </row>
    <row r="31" spans="2:5" ht="14.25" x14ac:dyDescent="0.1">
      <c r="B31" s="6"/>
      <c r="C31" s="5" t="s">
        <v>216</v>
      </c>
      <c r="D31" s="53"/>
      <c r="E31" s="53"/>
    </row>
    <row r="32" spans="2:5" ht="14.25" x14ac:dyDescent="0.1">
      <c r="B32" s="6"/>
      <c r="C32" s="5" t="s">
        <v>217</v>
      </c>
      <c r="D32" s="53"/>
      <c r="E32" s="53"/>
    </row>
    <row r="33" spans="2:5" ht="14.25" x14ac:dyDescent="0.1">
      <c r="B33" s="6"/>
      <c r="C33" s="5" t="s">
        <v>218</v>
      </c>
      <c r="D33" s="53"/>
      <c r="E33" s="53"/>
    </row>
    <row r="34" spans="2:5" ht="14.25" x14ac:dyDescent="0.1">
      <c r="B34" s="6"/>
      <c r="C34" s="5" t="s">
        <v>219</v>
      </c>
      <c r="D34" s="53"/>
      <c r="E34" s="53"/>
    </row>
    <row r="35" spans="2:5" ht="14.25" x14ac:dyDescent="0.1">
      <c r="B35" s="6"/>
      <c r="C35" s="5" t="s">
        <v>220</v>
      </c>
      <c r="D35" s="53"/>
      <c r="E35" s="53"/>
    </row>
    <row r="36" spans="2:5" ht="14.25" x14ac:dyDescent="0.1">
      <c r="B36" s="6"/>
      <c r="C36" s="5" t="s">
        <v>221</v>
      </c>
      <c r="D36" s="53"/>
      <c r="E36" s="53"/>
    </row>
    <row r="37" spans="2:5" ht="14.25" x14ac:dyDescent="0.1">
      <c r="B37" s="6"/>
      <c r="C37" s="5" t="s">
        <v>222</v>
      </c>
      <c r="D37" s="53"/>
      <c r="E37" s="53"/>
    </row>
    <row r="38" spans="2:5" ht="14.25" x14ac:dyDescent="0.1">
      <c r="B38" s="6"/>
      <c r="C38" s="5" t="s">
        <v>223</v>
      </c>
      <c r="D38" s="53"/>
      <c r="E38" s="53"/>
    </row>
    <row r="39" spans="2:5" ht="14.25" x14ac:dyDescent="0.1">
      <c r="B39" s="6"/>
      <c r="C39" s="5" t="s">
        <v>224</v>
      </c>
      <c r="D39" s="53"/>
      <c r="E39" s="53"/>
    </row>
    <row r="40" spans="2:5" ht="14.25" x14ac:dyDescent="0.1">
      <c r="B40" s="6"/>
      <c r="C40" s="5" t="s">
        <v>17</v>
      </c>
      <c r="D40" s="53">
        <v>16192</v>
      </c>
      <c r="E40" s="53"/>
    </row>
    <row r="41" spans="2:5" ht="14.25" x14ac:dyDescent="0.1">
      <c r="B41" s="6"/>
      <c r="C41" s="56" t="s">
        <v>225</v>
      </c>
      <c r="D41" s="57">
        <f>SUM(D23:D40)</f>
        <v>32808</v>
      </c>
      <c r="E41" s="57">
        <f>SUM(E23:E40)</f>
        <v>0</v>
      </c>
    </row>
    <row r="42" spans="2:5" ht="14.25" x14ac:dyDescent="0.1">
      <c r="B42" s="6"/>
      <c r="C42" s="6"/>
      <c r="D42" s="6"/>
      <c r="E42" s="6"/>
    </row>
    <row r="43" spans="2:5" ht="15" x14ac:dyDescent="0.1">
      <c r="B43" s="119" t="s">
        <v>226</v>
      </c>
      <c r="C43" s="119"/>
      <c r="D43" s="54">
        <f>D20-D41</f>
        <v>8847</v>
      </c>
      <c r="E43" s="54">
        <f>E20-E41</f>
        <v>0</v>
      </c>
    </row>
    <row r="44" spans="2:5" ht="14.25" x14ac:dyDescent="0.1">
      <c r="B44" s="6"/>
      <c r="C44" s="5" t="s">
        <v>227</v>
      </c>
      <c r="D44" s="53">
        <v>12762</v>
      </c>
      <c r="E44" s="53"/>
    </row>
    <row r="45" spans="2:5" ht="14.25" x14ac:dyDescent="0.1">
      <c r="B45" s="6"/>
      <c r="C45" s="5" t="s">
        <v>228</v>
      </c>
      <c r="D45" s="53">
        <v>-6113</v>
      </c>
      <c r="E45" s="53"/>
    </row>
    <row r="46" spans="2:5" ht="14.25" x14ac:dyDescent="0.1">
      <c r="B46" s="6"/>
      <c r="C46" s="56" t="s">
        <v>229</v>
      </c>
      <c r="D46" s="57">
        <f>D43+SUM(D44:D45)</f>
        <v>15496</v>
      </c>
      <c r="E46" s="57">
        <f>E43+SUM(E44:E45)</f>
        <v>0</v>
      </c>
    </row>
    <row r="47" spans="2:5" ht="14.25" x14ac:dyDescent="0.1">
      <c r="B47" s="6"/>
      <c r="C47" s="5" t="s">
        <v>230</v>
      </c>
      <c r="D47" s="53">
        <v>-1069</v>
      </c>
      <c r="E47" s="53"/>
    </row>
    <row r="48" spans="2:5" ht="15" x14ac:dyDescent="0.1">
      <c r="B48" s="119" t="s">
        <v>231</v>
      </c>
      <c r="C48" s="119"/>
      <c r="D48" s="54">
        <f>D46+D47</f>
        <v>14427</v>
      </c>
      <c r="E48" s="54">
        <f>E46+E47</f>
        <v>0</v>
      </c>
    </row>
    <row r="49" spans="2:5" ht="14.25" x14ac:dyDescent="0.1">
      <c r="B49" s="6"/>
      <c r="C49" s="58" t="s">
        <v>38</v>
      </c>
      <c r="D49" s="6"/>
      <c r="E49" s="17" t="s">
        <v>20</v>
      </c>
    </row>
    <row r="50" spans="2:5" ht="18.75" x14ac:dyDescent="0.1">
      <c r="B50" s="51" t="s">
        <v>232</v>
      </c>
      <c r="C50" s="51"/>
      <c r="D50" s="55"/>
      <c r="E50" s="55"/>
    </row>
    <row r="51" spans="2:5" ht="14.25" x14ac:dyDescent="0.1">
      <c r="B51" s="6"/>
      <c r="C51" s="5" t="s">
        <v>233</v>
      </c>
      <c r="D51" s="53"/>
      <c r="E51" s="53"/>
    </row>
    <row r="52" spans="2:5" ht="14.25" x14ac:dyDescent="0.1">
      <c r="B52" s="6"/>
      <c r="C52" s="5" t="s">
        <v>234</v>
      </c>
      <c r="D52" s="53"/>
      <c r="E52" s="53"/>
    </row>
    <row r="53" spans="2:5" ht="14.25" x14ac:dyDescent="0.1">
      <c r="B53" s="6"/>
      <c r="C53" s="5" t="s">
        <v>235</v>
      </c>
      <c r="D53" s="53"/>
      <c r="E53" s="53"/>
    </row>
    <row r="54" spans="2:5" ht="14.25" x14ac:dyDescent="0.1">
      <c r="B54" s="6"/>
      <c r="C54" s="6"/>
      <c r="D54" s="6"/>
      <c r="E54" s="6"/>
    </row>
    <row r="55" spans="2:5" ht="15.75" thickBot="1" x14ac:dyDescent="0.15">
      <c r="B55" s="120" t="s">
        <v>236</v>
      </c>
      <c r="C55" s="120"/>
      <c r="D55" s="59">
        <f>SUM(D51:D53)+D48</f>
        <v>14427</v>
      </c>
      <c r="E55" s="59">
        <f>SUM(E51:E53)+E48</f>
        <v>0</v>
      </c>
    </row>
    <row r="56" spans="2:5" ht="13.5" thickTop="1" x14ac:dyDescent="0.1">
      <c r="B56" s="3"/>
      <c r="C56" s="3"/>
      <c r="D56" s="3"/>
      <c r="E56" s="3"/>
    </row>
    <row r="57" spans="2:5" ht="12.75" x14ac:dyDescent="0.1">
      <c r="B57" s="3"/>
      <c r="C57" s="3"/>
      <c r="D57" s="3"/>
      <c r="E57" s="3"/>
    </row>
    <row r="58" spans="2:5" ht="12.75" x14ac:dyDescent="0.15">
      <c r="B58" s="21"/>
      <c r="C58" s="21"/>
      <c r="D58" s="21"/>
      <c r="E58" s="21"/>
    </row>
  </sheetData>
  <mergeCells count="3">
    <mergeCell ref="B43:C43"/>
    <mergeCell ref="B48:C48"/>
    <mergeCell ref="B55:C55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0E9AB-4B55-4A4B-98E6-4CB81FE82370}">
  <dimension ref="C1:H45"/>
  <sheetViews>
    <sheetView topLeftCell="B21" zoomScale="150" zoomScaleNormal="150" workbookViewId="0">
      <selection activeCell="E11" sqref="E11"/>
    </sheetView>
  </sheetViews>
  <sheetFormatPr defaultColWidth="10.91015625" defaultRowHeight="16.5" customHeight="1" x14ac:dyDescent="0.1"/>
  <cols>
    <col min="1" max="2" width="7.953125" style="1" customWidth="1"/>
    <col min="3" max="3" width="5.36328125" style="1" customWidth="1"/>
    <col min="4" max="4" width="8.69140625" style="1" customWidth="1"/>
    <col min="5" max="5" width="72.69140625" style="1" customWidth="1"/>
    <col min="6" max="6" width="20.71484375" style="1" customWidth="1"/>
    <col min="7" max="7" width="5.36328125" style="1" customWidth="1"/>
    <col min="8" max="8" width="13.5" style="1"/>
    <col min="9" max="16384" width="10.91015625" style="1"/>
  </cols>
  <sheetData>
    <row r="1" spans="3:8" s="2" customFormat="1" ht="16.5" customHeight="1" x14ac:dyDescent="0.1"/>
    <row r="2" spans="3:8" s="2" customFormat="1" ht="16.5" customHeight="1" x14ac:dyDescent="0.1"/>
    <row r="3" spans="3:8" s="2" customFormat="1" ht="16.5" customHeight="1" x14ac:dyDescent="0.1">
      <c r="C3" s="3"/>
      <c r="D3" s="121" t="s">
        <v>0</v>
      </c>
      <c r="E3" s="121"/>
      <c r="F3" s="121"/>
      <c r="G3" s="3"/>
      <c r="H3" s="3"/>
    </row>
    <row r="4" spans="3:8" ht="16.5" customHeight="1" x14ac:dyDescent="0.1">
      <c r="C4" s="3"/>
      <c r="D4" s="122" t="s">
        <v>238</v>
      </c>
      <c r="E4" s="122"/>
      <c r="F4" s="122"/>
      <c r="G4" s="3"/>
      <c r="H4" s="3"/>
    </row>
    <row r="5" spans="3:8" ht="16.5" customHeight="1" x14ac:dyDescent="0.1">
      <c r="C5" s="3"/>
      <c r="D5" s="3"/>
      <c r="E5" s="3"/>
      <c r="F5" s="3"/>
      <c r="G5" s="3"/>
      <c r="H5" s="3"/>
    </row>
    <row r="6" spans="3:8" ht="16.5" customHeight="1" x14ac:dyDescent="0.1">
      <c r="C6" s="3"/>
      <c r="D6" s="6"/>
      <c r="E6" s="50" t="s">
        <v>239</v>
      </c>
      <c r="F6" s="72">
        <v>43830</v>
      </c>
      <c r="G6" s="3"/>
      <c r="H6" s="3"/>
    </row>
    <row r="7" spans="3:8" ht="16.5" customHeight="1" x14ac:dyDescent="0.1">
      <c r="C7" s="3"/>
      <c r="D7" s="6"/>
      <c r="E7" s="50" t="s">
        <v>240</v>
      </c>
      <c r="F7" s="73">
        <v>15700</v>
      </c>
      <c r="G7" s="3"/>
      <c r="H7" s="3"/>
    </row>
    <row r="8" spans="3:8" ht="16.5" customHeight="1" x14ac:dyDescent="0.1">
      <c r="C8" s="3"/>
      <c r="D8" s="6"/>
      <c r="E8" s="6"/>
      <c r="F8" s="6"/>
      <c r="G8" s="3"/>
      <c r="H8" s="3"/>
    </row>
    <row r="9" spans="3:8" ht="16.5" customHeight="1" x14ac:dyDescent="0.1">
      <c r="C9" s="3"/>
      <c r="D9" s="74" t="s">
        <v>241</v>
      </c>
      <c r="E9" s="74"/>
      <c r="F9" s="75"/>
      <c r="G9" s="76"/>
      <c r="H9" s="76"/>
    </row>
    <row r="10" spans="3:8" ht="16.5" customHeight="1" x14ac:dyDescent="0.15">
      <c r="C10" s="21"/>
      <c r="D10" s="5" t="s">
        <v>242</v>
      </c>
      <c r="E10" s="5"/>
      <c r="F10" s="77"/>
      <c r="G10" s="21"/>
      <c r="H10" s="21"/>
    </row>
    <row r="11" spans="3:8" ht="16.5" customHeight="1" x14ac:dyDescent="0.1">
      <c r="C11" s="3"/>
      <c r="D11" s="3"/>
      <c r="E11" s="3" t="s">
        <v>243</v>
      </c>
      <c r="F11" s="73">
        <v>693200</v>
      </c>
      <c r="G11" s="3"/>
      <c r="H11" s="3"/>
    </row>
    <row r="12" spans="3:8" ht="16.5" customHeight="1" x14ac:dyDescent="0.1">
      <c r="C12" s="3"/>
      <c r="D12" s="3"/>
      <c r="E12" s="3" t="s">
        <v>244</v>
      </c>
      <c r="F12" s="73"/>
      <c r="G12" s="3"/>
      <c r="H12" s="3"/>
    </row>
    <row r="13" spans="3:8" ht="16.5" customHeight="1" x14ac:dyDescent="0.1">
      <c r="C13" s="3"/>
      <c r="D13" s="5" t="s">
        <v>245</v>
      </c>
      <c r="E13" s="5"/>
      <c r="F13" s="77"/>
      <c r="G13" s="3"/>
      <c r="H13" s="3"/>
    </row>
    <row r="14" spans="3:8" ht="16.5" customHeight="1" x14ac:dyDescent="0.1">
      <c r="C14" s="3"/>
      <c r="D14" s="6"/>
      <c r="E14" s="5" t="s">
        <v>246</v>
      </c>
      <c r="F14" s="73">
        <v>-264000</v>
      </c>
      <c r="G14" s="3"/>
      <c r="H14" s="3"/>
    </row>
    <row r="15" spans="3:8" ht="16.5" customHeight="1" x14ac:dyDescent="0.1">
      <c r="C15" s="3"/>
      <c r="D15" s="6"/>
      <c r="E15" s="5" t="s">
        <v>247</v>
      </c>
      <c r="F15" s="73">
        <v>-112000</v>
      </c>
      <c r="G15" s="3"/>
      <c r="H15" s="3"/>
    </row>
    <row r="16" spans="3:8" ht="16.5" customHeight="1" x14ac:dyDescent="0.1">
      <c r="C16" s="3"/>
      <c r="D16" s="6"/>
      <c r="E16" s="5" t="s">
        <v>248</v>
      </c>
      <c r="F16" s="73">
        <v>-123000</v>
      </c>
      <c r="G16" s="3"/>
      <c r="H16" s="3"/>
    </row>
    <row r="17" spans="3:8" ht="16.5" customHeight="1" x14ac:dyDescent="0.1">
      <c r="C17" s="3"/>
      <c r="D17" s="6"/>
      <c r="E17" s="5" t="s">
        <v>249</v>
      </c>
      <c r="F17" s="73">
        <v>-13500</v>
      </c>
      <c r="G17" s="3"/>
      <c r="H17" s="3"/>
    </row>
    <row r="18" spans="3:8" ht="16.5" customHeight="1" x14ac:dyDescent="0.1">
      <c r="C18" s="3"/>
      <c r="D18" s="6"/>
      <c r="E18" s="5" t="s">
        <v>250</v>
      </c>
      <c r="F18" s="73">
        <v>-32800</v>
      </c>
      <c r="G18" s="3"/>
      <c r="H18" s="3"/>
    </row>
    <row r="19" spans="3:8" ht="16.5" customHeight="1" x14ac:dyDescent="0.1">
      <c r="C19" s="3"/>
      <c r="D19" s="78" t="s">
        <v>251</v>
      </c>
      <c r="E19" s="78"/>
      <c r="F19" s="79">
        <f>SUM(F10:F18)</f>
        <v>147900</v>
      </c>
      <c r="G19" s="3"/>
      <c r="H19" s="3"/>
    </row>
    <row r="20" spans="3:8" ht="16.5" customHeight="1" x14ac:dyDescent="0.1">
      <c r="C20" s="3"/>
      <c r="D20" s="6"/>
      <c r="E20" s="6"/>
      <c r="F20" s="6"/>
      <c r="G20" s="3"/>
      <c r="H20" s="3"/>
    </row>
    <row r="21" spans="3:8" ht="16.5" customHeight="1" x14ac:dyDescent="0.1">
      <c r="C21" s="80" t="s">
        <v>20</v>
      </c>
      <c r="D21" s="74" t="s">
        <v>252</v>
      </c>
      <c r="E21" s="74"/>
      <c r="F21" s="75"/>
      <c r="G21" s="76"/>
      <c r="H21" s="76"/>
    </row>
    <row r="22" spans="3:8" ht="16.5" customHeight="1" x14ac:dyDescent="0.1">
      <c r="C22" s="3"/>
      <c r="D22" s="5" t="s">
        <v>242</v>
      </c>
      <c r="E22" s="5"/>
      <c r="F22" s="77"/>
      <c r="G22" s="3"/>
      <c r="H22" s="3"/>
    </row>
    <row r="23" spans="3:8" ht="16.5" customHeight="1" x14ac:dyDescent="0.1">
      <c r="C23" s="3"/>
      <c r="D23" s="6"/>
      <c r="E23" s="5" t="s">
        <v>253</v>
      </c>
      <c r="F23" s="73">
        <v>33600</v>
      </c>
      <c r="G23" s="3"/>
      <c r="H23" s="3"/>
    </row>
    <row r="24" spans="3:8" ht="16.5" customHeight="1" x14ac:dyDescent="0.1">
      <c r="C24" s="3"/>
      <c r="D24" s="6"/>
      <c r="E24" s="5" t="s">
        <v>254</v>
      </c>
      <c r="F24" s="73"/>
      <c r="G24" s="3"/>
      <c r="H24" s="3"/>
    </row>
    <row r="25" spans="3:8" ht="16.5" customHeight="1" x14ac:dyDescent="0.1">
      <c r="C25" s="3"/>
      <c r="D25" s="6"/>
      <c r="E25" s="5" t="s">
        <v>255</v>
      </c>
      <c r="F25" s="73"/>
      <c r="G25" s="3"/>
      <c r="H25" s="3"/>
    </row>
    <row r="26" spans="3:8" ht="16.5" customHeight="1" x14ac:dyDescent="0.1">
      <c r="C26" s="3"/>
      <c r="D26" s="5" t="s">
        <v>245</v>
      </c>
      <c r="E26" s="5"/>
      <c r="F26" s="77"/>
      <c r="G26" s="3"/>
      <c r="H26" s="3"/>
    </row>
    <row r="27" spans="3:8" ht="16.5" customHeight="1" x14ac:dyDescent="0.1">
      <c r="C27" s="3"/>
      <c r="D27" s="6"/>
      <c r="E27" s="5" t="s">
        <v>256</v>
      </c>
      <c r="F27" s="73">
        <v>-75000</v>
      </c>
      <c r="G27" s="81"/>
      <c r="H27" s="3"/>
    </row>
    <row r="28" spans="3:8" ht="16.5" customHeight="1" x14ac:dyDescent="0.1">
      <c r="C28" s="3"/>
      <c r="D28" s="6"/>
      <c r="E28" s="5" t="s">
        <v>257</v>
      </c>
      <c r="F28" s="73"/>
      <c r="G28" s="81"/>
      <c r="H28" s="3"/>
    </row>
    <row r="29" spans="3:8" ht="16.5" customHeight="1" x14ac:dyDescent="0.1">
      <c r="C29" s="3"/>
      <c r="D29" s="6"/>
      <c r="E29" s="5" t="s">
        <v>258</v>
      </c>
      <c r="F29" s="73"/>
      <c r="G29" s="81"/>
      <c r="H29" s="3"/>
    </row>
    <row r="30" spans="3:8" ht="16.5" customHeight="1" x14ac:dyDescent="0.1">
      <c r="C30" s="3"/>
      <c r="D30" s="82" t="s">
        <v>259</v>
      </c>
      <c r="E30" s="82"/>
      <c r="F30" s="79">
        <f>SUM(F22:F29)</f>
        <v>-41400</v>
      </c>
      <c r="G30" s="3"/>
      <c r="H30" s="3"/>
    </row>
    <row r="31" spans="3:8" ht="16.5" customHeight="1" x14ac:dyDescent="0.1">
      <c r="C31" s="3"/>
      <c r="D31" s="83"/>
      <c r="E31" s="6"/>
      <c r="F31" s="6"/>
      <c r="G31" s="3"/>
      <c r="H31" s="3"/>
    </row>
    <row r="32" spans="3:8" ht="16.5" customHeight="1" x14ac:dyDescent="0.1">
      <c r="C32" s="3"/>
      <c r="D32" s="74" t="s">
        <v>260</v>
      </c>
      <c r="E32" s="74"/>
      <c r="F32" s="75"/>
      <c r="G32" s="76"/>
      <c r="H32" s="76"/>
    </row>
    <row r="33" spans="3:8" ht="16.5" customHeight="1" x14ac:dyDescent="0.1">
      <c r="C33" s="3"/>
      <c r="D33" s="5" t="s">
        <v>242</v>
      </c>
      <c r="E33" s="5"/>
      <c r="F33" s="77"/>
      <c r="G33" s="3"/>
      <c r="H33" s="3"/>
    </row>
    <row r="34" spans="3:8" ht="16.5" customHeight="1" x14ac:dyDescent="0.1">
      <c r="C34" s="3"/>
      <c r="D34" s="6"/>
      <c r="E34" s="5" t="s">
        <v>261</v>
      </c>
      <c r="F34" s="73"/>
      <c r="G34" s="3"/>
      <c r="H34" s="3"/>
    </row>
    <row r="35" spans="3:8" ht="16.5" customHeight="1" x14ac:dyDescent="0.1">
      <c r="C35" s="3"/>
      <c r="D35" s="6"/>
      <c r="E35" s="5" t="s">
        <v>262</v>
      </c>
      <c r="F35" s="73"/>
      <c r="G35" s="3"/>
      <c r="H35" s="3"/>
    </row>
    <row r="36" spans="3:8" ht="16.5" customHeight="1" x14ac:dyDescent="0.1">
      <c r="C36" s="3"/>
      <c r="D36" s="5" t="s">
        <v>245</v>
      </c>
      <c r="E36" s="5"/>
      <c r="F36" s="77"/>
      <c r="G36" s="3"/>
      <c r="H36" s="3"/>
    </row>
    <row r="37" spans="3:8" ht="16.5" customHeight="1" x14ac:dyDescent="0.1">
      <c r="C37" s="3"/>
      <c r="D37" s="6"/>
      <c r="E37" s="5" t="s">
        <v>263</v>
      </c>
      <c r="F37" s="73"/>
      <c r="G37" s="3"/>
      <c r="H37" s="3"/>
    </row>
    <row r="38" spans="3:8" ht="16.5" customHeight="1" x14ac:dyDescent="0.1">
      <c r="C38" s="3"/>
      <c r="D38" s="6"/>
      <c r="E38" s="5" t="s">
        <v>264</v>
      </c>
      <c r="F38" s="73">
        <v>-34000</v>
      </c>
      <c r="G38" s="3"/>
      <c r="H38" s="3"/>
    </row>
    <row r="39" spans="3:8" ht="16.5" customHeight="1" x14ac:dyDescent="0.1">
      <c r="C39" s="3"/>
      <c r="D39" s="6"/>
      <c r="E39" s="5" t="s">
        <v>265</v>
      </c>
      <c r="F39" s="73">
        <v>-53000</v>
      </c>
      <c r="G39" s="3"/>
      <c r="H39" s="3"/>
    </row>
    <row r="40" spans="3:8" ht="16.5" customHeight="1" x14ac:dyDescent="0.1">
      <c r="C40" s="3"/>
      <c r="D40" s="82" t="s">
        <v>266</v>
      </c>
      <c r="E40" s="82"/>
      <c r="F40" s="79">
        <f>SUM(F33:F39)</f>
        <v>-87000</v>
      </c>
      <c r="G40" s="3"/>
      <c r="H40" s="3"/>
    </row>
    <row r="41" spans="3:8" ht="16.5" customHeight="1" x14ac:dyDescent="0.1">
      <c r="C41" s="3"/>
      <c r="D41" s="6"/>
      <c r="E41" s="6"/>
      <c r="F41" s="6"/>
      <c r="G41" s="3"/>
      <c r="H41" s="3"/>
    </row>
    <row r="42" spans="3:8" ht="16.5" customHeight="1" thickBot="1" x14ac:dyDescent="0.15">
      <c r="C42" s="3"/>
      <c r="D42" s="84" t="s">
        <v>267</v>
      </c>
      <c r="E42" s="84"/>
      <c r="F42" s="85">
        <f>F19+F30+F40</f>
        <v>19500</v>
      </c>
      <c r="G42" s="3"/>
      <c r="H42" s="3"/>
    </row>
    <row r="43" spans="3:8" ht="16.5" customHeight="1" thickTop="1" x14ac:dyDescent="0.1">
      <c r="C43" s="3"/>
      <c r="D43" s="6"/>
      <c r="E43" s="6"/>
      <c r="F43" s="6"/>
      <c r="G43" s="3"/>
      <c r="H43" s="3"/>
    </row>
    <row r="44" spans="3:8" ht="16.5" customHeight="1" x14ac:dyDescent="0.1">
      <c r="C44" s="3"/>
      <c r="D44" s="6"/>
      <c r="E44" s="50" t="s">
        <v>268</v>
      </c>
      <c r="F44" s="86">
        <f>F7+F42</f>
        <v>35200</v>
      </c>
      <c r="G44" s="3"/>
      <c r="H44" s="3"/>
    </row>
    <row r="45" spans="3:8" ht="16.5" customHeight="1" x14ac:dyDescent="0.1">
      <c r="C45" s="3"/>
      <c r="D45" s="87"/>
      <c r="E45" s="6"/>
      <c r="F45" s="22"/>
      <c r="G45" s="3"/>
      <c r="H45" s="3"/>
    </row>
  </sheetData>
  <mergeCells count="2">
    <mergeCell ref="D3:F3"/>
    <mergeCell ref="D4:F4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cf73ddd-8a9c-45dc-bd73-ff6d26d6711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D29BCD3A4C6041B3CFD35C457E1440" ma:contentTypeVersion="3" ma:contentTypeDescription="Create a new document." ma:contentTypeScope="" ma:versionID="4897d17bc00bb36477fc0cf677b7c212">
  <xsd:schema xmlns:xsd="http://www.w3.org/2001/XMLSchema" xmlns:xs="http://www.w3.org/2001/XMLSchema" xmlns:p="http://schemas.microsoft.com/office/2006/metadata/properties" xmlns:ns3="5cf73ddd-8a9c-45dc-bd73-ff6d26d67114" targetNamespace="http://schemas.microsoft.com/office/2006/metadata/properties" ma:root="true" ma:fieldsID="20dd2a4ff76af4feec10ff0dd3d42c66" ns3:_="">
    <xsd:import namespace="5cf73ddd-8a9c-45dc-bd73-ff6d26d6711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f73ddd-8a9c-45dc-bd73-ff6d26d671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82F7B1-C6B3-40A3-9015-CFF1A98156EC}">
  <ds:schemaRefs>
    <ds:schemaRef ds:uri="http://schemas.microsoft.com/office/2006/metadata/properties"/>
    <ds:schemaRef ds:uri="http://www.w3.org/2000/xmlns/"/>
    <ds:schemaRef ds:uri="5cf73ddd-8a9c-45dc-bd73-ff6d26d67114"/>
    <ds:schemaRef ds:uri="http://www.w3.org/2001/XMLSchema-instance"/>
  </ds:schemaRefs>
</ds:datastoreItem>
</file>

<file path=customXml/itemProps2.xml><?xml version="1.0" encoding="utf-8"?>
<ds:datastoreItem xmlns:ds="http://schemas.openxmlformats.org/officeDocument/2006/customXml" ds:itemID="{6F3F68CB-C8C3-4DB7-BDA1-15ED2C36AF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CE71EE-2E6B-4530-B069-621F0CED2C60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5cf73ddd-8a9c-45dc-bd73-ff6d26d6711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Balance Sheet</vt:lpstr>
      <vt:lpstr>Income Statement</vt:lpstr>
      <vt:lpstr>Cash Flows</vt:lpstr>
      <vt:lpstr>Sheet2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linro</dc:creator>
  <cp:lastModifiedBy>linroger023@gmail.com</cp:lastModifiedBy>
  <dcterms:created xsi:type="dcterms:W3CDTF">2023-03-25T07:44:56Z</dcterms:created>
  <dcterms:modified xsi:type="dcterms:W3CDTF">2023-03-25T14:20:53Z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0x0101008ED29BCD3A4C6041B3CFD35C457E1440</vt:lpwstr>
  </property>
</Properties>
</file>